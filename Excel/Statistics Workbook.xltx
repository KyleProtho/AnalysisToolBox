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oneno\OneDrive\Creations\Snippets for Statistics\SnippetsForStatistics\Excel\"/>
    </mc:Choice>
  </mc:AlternateContent>
  <xr:revisionPtr revIDLastSave="0" documentId="13_ncr:11_{13AC2143-B545-4F16-B1A0-D81EB697BCEE}" xr6:coauthVersionLast="47" xr6:coauthVersionMax="47" xr10:uidLastSave="{00000000-0000-0000-0000-000000000000}"/>
  <bookViews>
    <workbookView xWindow="-108" yWindow="-108" windowWidth="23256" windowHeight="12576" firstSheet="2" activeTab="7" xr2:uid="{F5445DF9-D2DE-4A11-817E-08F2E91AAD25}"/>
  </bookViews>
  <sheets>
    <sheet name="MinSampleSize" sheetId="1" r:id="rId1"/>
    <sheet name="ConfInt-Proportion" sheetId="2" r:id="rId2"/>
    <sheet name="ConfInt-Mean-Z" sheetId="3" r:id="rId3"/>
    <sheet name="ConfInt-Mean-T" sheetId="4" r:id="rId4"/>
    <sheet name="ZTest-Mean" sheetId="6" r:id="rId5"/>
    <sheet name="TTest-Mean" sheetId="7" r:id="rId6"/>
    <sheet name="ZTest-Proportion" sheetId="8" r:id="rId7"/>
    <sheet name="ZTest-Difference Btwn Grps" sheetId="9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16" i="6" l="1"/>
  <c r="B17" i="6"/>
  <c r="B16" i="6" a="1"/>
  <c r="B16" i="6" s="1"/>
  <c r="B12" i="7" a="1"/>
  <c r="B12" i="7" s="1"/>
  <c r="B16" i="7" s="1" a="1"/>
  <c r="B16" i="7" s="1"/>
  <c r="C16" i="7" s="1"/>
  <c r="B13" i="3"/>
  <c r="B17" i="7" l="1"/>
  <c r="C17" i="6"/>
  <c r="B13" i="6"/>
  <c r="B15" i="6" s="1"/>
  <c r="C16" i="8"/>
  <c r="B11" i="3"/>
  <c r="B16" i="8" a="1"/>
  <c r="B16" i="8" s="1"/>
  <c r="B13" i="9"/>
  <c r="B16" i="9"/>
  <c r="B15" i="9"/>
  <c r="B14" i="9"/>
  <c r="B13" i="2"/>
  <c r="B14" i="2"/>
  <c r="B12" i="8"/>
  <c r="B13" i="8"/>
  <c r="B14" i="8" s="1"/>
  <c r="B11" i="8" a="1"/>
  <c r="B11" i="8" s="1"/>
  <c r="B17" i="8" s="1"/>
  <c r="C17" i="8" s="1"/>
  <c r="B10" i="4"/>
  <c r="B12" i="4" s="1"/>
  <c r="B14" i="7"/>
  <c r="B13" i="7"/>
  <c r="B12" i="6" a="1"/>
  <c r="B12" i="6" s="1"/>
  <c r="B10" i="3"/>
  <c r="B14" i="6"/>
  <c r="B11" i="4"/>
  <c r="B6" i="2"/>
  <c r="B10" i="2"/>
  <c r="B11" i="2" s="1"/>
  <c r="B12" i="2" s="1"/>
  <c r="B9" i="2"/>
  <c r="B20" i="1"/>
  <c r="B21" i="1" s="1"/>
  <c r="B22" i="1" s="1"/>
  <c r="B23" i="1"/>
  <c r="B8" i="1"/>
  <c r="B9" i="1" s="1"/>
  <c r="B10" i="1" s="1"/>
  <c r="B11" i="1" s="1"/>
  <c r="B12" i="1" s="1"/>
  <c r="B19" i="9" l="1"/>
  <c r="B20" i="9"/>
  <c r="B15" i="7"/>
  <c r="B17" i="9"/>
  <c r="B15" i="8"/>
  <c r="C17" i="7"/>
  <c r="B14" i="4"/>
  <c r="B13" i="4"/>
  <c r="B12" i="3"/>
  <c r="B15" i="2"/>
  <c r="B24" i="1"/>
  <c r="B25" i="1" s="1"/>
  <c r="B18" i="9" l="1"/>
  <c r="B21" i="9" s="1"/>
  <c r="B14" i="3"/>
  <c r="B18" i="8" a="1"/>
  <c r="B18" i="8" s="1"/>
  <c r="B18" i="6" a="1"/>
  <c r="B18" i="6" s="1"/>
  <c r="B18" i="7" a="1"/>
  <c r="B18" i="7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<sst xmlns="http://schemas.openxmlformats.org/spreadsheetml/2006/main" count="109" uniqueCount="45">
  <si>
    <t>Find Minimum Sample Size</t>
  </si>
  <si>
    <t>Desired confidence level:</t>
  </si>
  <si>
    <t>Standard deviation of population:</t>
  </si>
  <si>
    <t>Desired margin of error:</t>
  </si>
  <si>
    <t>Sample size:</t>
  </si>
  <si>
    <t>Result</t>
  </si>
  <si>
    <t>Minimum sample size:</t>
  </si>
  <si>
    <t>Alternatively, if your outcome is proportion-based, you can calculate the minimum sample size needed given three factors:</t>
  </si>
  <si>
    <t>This sheet allows you to calculate the minimum sample size needed given three factors:</t>
  </si>
  <si>
    <t>Probability of "success":</t>
  </si>
  <si>
    <t>Calculation Step</t>
  </si>
  <si>
    <t>Find Confidence Interval for Proportion</t>
  </si>
  <si>
    <t>This sheet allows you to calculate the confidence interval of a proportion given three factors:</t>
  </si>
  <si>
    <t>Probability of "success" in sample:</t>
  </si>
  <si>
    <t>Lower Bound of Confidence Interval</t>
  </si>
  <si>
    <t>Upper Bound of Confidence Interval</t>
  </si>
  <si>
    <t>Find Confidence Interval for Mean</t>
  </si>
  <si>
    <t>This sheet allows you to calculate the confidence interval of means given three factors:</t>
  </si>
  <si>
    <t>Sample mean:</t>
  </si>
  <si>
    <t>Where standard deviation of population is known (i.e., using the normal distribution)</t>
  </si>
  <si>
    <t>Where standard deviation of population is unknown (i.e., using the student's T distribution)</t>
  </si>
  <si>
    <t>Standard deviation of sample:</t>
  </si>
  <si>
    <t>Alternative hypothesis:</t>
  </si>
  <si>
    <t>Is not equal to</t>
  </si>
  <si>
    <t>Z Test Result</t>
  </si>
  <si>
    <t>Hypothesis Testing of Mean Using Z-Score</t>
  </si>
  <si>
    <t>Hypothesis Testing of Mean Using T-Score</t>
  </si>
  <si>
    <t>Where standard deviation of population is unknown (i.e., using the T distribution) and when samples size is less than 30</t>
  </si>
  <si>
    <t>Where standard deviation of population is known (i.e., using the normal distribution), or when samples size is greater than or equal to 30</t>
  </si>
  <si>
    <t>Hypothesis Testing of Proportion Using Z-Score</t>
  </si>
  <si>
    <t>Sample proportion:</t>
  </si>
  <si>
    <t>Sample size of Group 1:</t>
  </si>
  <si>
    <t>Standard deviation of Group 1:</t>
  </si>
  <si>
    <t>Mean of Group 1:</t>
  </si>
  <si>
    <t>Sample size of Group 2:</t>
  </si>
  <si>
    <t>Standard deviation of Group 2:</t>
  </si>
  <si>
    <t>Mean of Group 2:</t>
  </si>
  <si>
    <t>Hypothesis Testing of Difference Between 2 Groups Using Z-Score</t>
  </si>
  <si>
    <t>Where variance and sample size in both groups are approximately the same. The null hypothesis is that the means of Group 1 and Group 2 are equal (i.e. there is no difference).</t>
  </si>
  <si>
    <t>Sample size (n):</t>
  </si>
  <si>
    <t>Alternative hypothesis mean:</t>
  </si>
  <si>
    <t>Alternative hypothesis proportion:</t>
  </si>
  <si>
    <t>T-score of significance level</t>
  </si>
  <si>
    <t>Z-score of significance level</t>
  </si>
  <si>
    <r>
      <t>Significance level (</t>
    </r>
    <r>
      <rPr>
        <i/>
        <sz val="10"/>
        <color theme="1"/>
        <rFont val="Arial"/>
        <family val="2"/>
      </rPr>
      <t>a</t>
    </r>
    <r>
      <rPr>
        <sz val="10"/>
        <color theme="1"/>
        <rFont val="Arial"/>
        <family val="2"/>
      </rPr>
      <t>):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</si>
</sst>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0.000"/>
  </numFmts>
  <fonts count="8" x14ac:knownFonts="1"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rgb="FF3F3F76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Arial"/>
      <family val="2"/>
    </font>
    <font>
      <b/>
      <sz val="14"/>
      <color theme="1"/>
      <name val="Arial"/>
      <family val="2"/>
    </font>
    <font>
      <i/>
      <sz val="11"/>
      <color theme="1"/>
      <name val="Arial"/>
      <family val="2"/>
    </font>
    <font>
      <i/>
      <sz val="10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</cellStyleXfs>
  <cellXfs count="37">
    <xf numFmtId="0" fontId="0" fillId="0" borderId="0" xfId="0"/>
    <xf numFmtId="0" fontId="0" fillId="0" borderId="0" xfId="0" applyAlignment="1"/>
    <xf numFmtId="0" fontId="0" fillId="0" borderId="0" xfId="0" applyAlignment="1">
      <alignment wrapText="1"/>
    </xf>
    <xf numFmtId="0" fontId="5" fillId="3" borderId="0" xfId="0" applyFont="1" applyFill="1"/>
    <xf numFmtId="0" fontId="0" fillId="3" borderId="0" xfId="0" applyFill="1" applyAlignment="1"/>
    <xf numFmtId="0" fontId="0" fillId="3" borderId="0" xfId="0" applyFill="1" applyAlignment="1">
      <alignment vertical="top"/>
    </xf>
    <xf numFmtId="0" fontId="0" fillId="3" borderId="0" xfId="0" applyFill="1"/>
    <xf numFmtId="0" fontId="0" fillId="3" borderId="0" xfId="0" applyFill="1" applyAlignment="1">
      <alignment wrapText="1"/>
    </xf>
    <xf numFmtId="0" fontId="0" fillId="3" borderId="2" xfId="0" applyFill="1" applyBorder="1"/>
    <xf numFmtId="164" fontId="2" fillId="2" borderId="2" xfId="2" applyNumberFormat="1" applyBorder="1"/>
    <xf numFmtId="10" fontId="2" fillId="2" borderId="2" xfId="2" applyNumberFormat="1" applyBorder="1"/>
    <xf numFmtId="2" fontId="2" fillId="2" borderId="2" xfId="2" applyNumberFormat="1" applyBorder="1"/>
    <xf numFmtId="2" fontId="3" fillId="3" borderId="2" xfId="0" applyNumberFormat="1" applyFont="1" applyFill="1" applyBorder="1"/>
    <xf numFmtId="0" fontId="3" fillId="3" borderId="2" xfId="0" applyFont="1" applyFill="1" applyBorder="1"/>
    <xf numFmtId="2" fontId="0" fillId="3" borderId="2" xfId="0" applyNumberFormat="1" applyFill="1" applyBorder="1"/>
    <xf numFmtId="165" fontId="0" fillId="3" borderId="2" xfId="0" applyNumberFormat="1" applyFill="1" applyBorder="1"/>
    <xf numFmtId="0" fontId="4" fillId="3" borderId="2" xfId="0" applyFont="1" applyFill="1" applyBorder="1"/>
    <xf numFmtId="3" fontId="4" fillId="3" borderId="2" xfId="0" applyNumberFormat="1" applyFont="1" applyFill="1" applyBorder="1"/>
    <xf numFmtId="10" fontId="0" fillId="3" borderId="2" xfId="1" applyNumberFormat="1" applyFont="1" applyFill="1" applyBorder="1"/>
    <xf numFmtId="10" fontId="2" fillId="2" borderId="2" xfId="1" applyNumberFormat="1" applyFont="1" applyFill="1" applyBorder="1"/>
    <xf numFmtId="3" fontId="2" fillId="2" borderId="2" xfId="2" applyNumberFormat="1" applyBorder="1"/>
    <xf numFmtId="10" fontId="0" fillId="3" borderId="2" xfId="0" applyNumberFormat="1" applyFill="1" applyBorder="1"/>
    <xf numFmtId="164" fontId="4" fillId="3" borderId="2" xfId="0" applyNumberFormat="1" applyFont="1" applyFill="1" applyBorder="1"/>
    <xf numFmtId="4" fontId="2" fillId="2" borderId="2" xfId="2" applyNumberFormat="1" applyBorder="1"/>
    <xf numFmtId="0" fontId="6" fillId="3" borderId="0" xfId="0" applyFont="1" applyFill="1"/>
    <xf numFmtId="2" fontId="4" fillId="3" borderId="2" xfId="0" applyNumberFormat="1" applyFont="1" applyFill="1" applyBorder="1"/>
    <xf numFmtId="49" fontId="2" fillId="2" borderId="2" xfId="2" applyNumberFormat="1" applyBorder="1"/>
    <xf numFmtId="2" fontId="0" fillId="3" borderId="2" xfId="0" applyNumberFormat="1" applyFont="1" applyFill="1" applyBorder="1"/>
    <xf numFmtId="0" fontId="0" fillId="3" borderId="2" xfId="0" applyFont="1" applyFill="1" applyBorder="1"/>
    <xf numFmtId="165" fontId="0" fillId="3" borderId="2" xfId="0" applyNumberFormat="1" applyFont="1" applyFill="1" applyBorder="1"/>
    <xf numFmtId="165" fontId="0" fillId="3" borderId="2" xfId="1" applyNumberFormat="1" applyFont="1" applyFill="1" applyBorder="1"/>
    <xf numFmtId="10" fontId="7" fillId="3" borderId="0" xfId="1" applyNumberFormat="1" applyFont="1" applyFill="1"/>
    <xf numFmtId="0" fontId="7" fillId="3" borderId="0" xfId="0" applyFont="1" applyFill="1"/>
    <xf numFmtId="165" fontId="7" fillId="3" borderId="0" xfId="0" applyNumberFormat="1" applyFont="1" applyFill="1"/>
    <xf numFmtId="0" fontId="0" fillId="3" borderId="0" xfId="0" applyFill="1" applyAlignment="1">
      <alignment horizontal="left" wrapText="1"/>
    </xf>
    <xf numFmtId="0" fontId="6" fillId="3" borderId="0" xfId="0" applyFont="1" applyFill="1" applyAlignment="1">
      <alignment horizontal="left" wrapText="1"/>
    </xf>
    <xf numFmtId="165" fontId="4" fillId="3" borderId="2" xfId="0" applyNumberFormat="1" applyFont="1" applyFill="1" applyBorder="1"/>
  </cellXfs>
  <cellStyles count="3">
    <cellStyle name="Input" xfId="2" builtinId="20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1.png"/><Relationship Id="rId6" Type="http://schemas.openxmlformats.org/officeDocument/2006/relationships/image" Target="../media/image15.png"/><Relationship Id="rId5" Type="http://schemas.openxmlformats.org/officeDocument/2006/relationships/image" Target="../media/image14.png"/><Relationship Id="rId4" Type="http://schemas.openxmlformats.org/officeDocument/2006/relationships/image" Target="../media/image13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2" Type="http://schemas.openxmlformats.org/officeDocument/2006/relationships/image" Target="../media/image16.png"/><Relationship Id="rId1" Type="http://schemas.openxmlformats.org/officeDocument/2006/relationships/image" Target="../media/image2.png"/><Relationship Id="rId4" Type="http://schemas.openxmlformats.org/officeDocument/2006/relationships/image" Target="../media/image18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png"/><Relationship Id="rId2" Type="http://schemas.openxmlformats.org/officeDocument/2006/relationships/image" Target="../media/image20.png"/><Relationship Id="rId1" Type="http://schemas.openxmlformats.org/officeDocument/2006/relationships/image" Target="../media/image19.png"/><Relationship Id="rId4" Type="http://schemas.openxmlformats.org/officeDocument/2006/relationships/image" Target="../media/image2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2" Type="http://schemas.openxmlformats.org/officeDocument/2006/relationships/image" Target="../media/image24.png"/><Relationship Id="rId1" Type="http://schemas.openxmlformats.org/officeDocument/2006/relationships/image" Target="../media/image23.png"/><Relationship Id="rId4" Type="http://schemas.openxmlformats.org/officeDocument/2006/relationships/image" Target="../media/image25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7.png"/><Relationship Id="rId2" Type="http://schemas.openxmlformats.org/officeDocument/2006/relationships/image" Target="../media/image26.png"/><Relationship Id="rId1" Type="http://schemas.openxmlformats.org/officeDocument/2006/relationships/image" Target="../media/image23.png"/><Relationship Id="rId4" Type="http://schemas.openxmlformats.org/officeDocument/2006/relationships/image" Target="../media/image28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1.png"/><Relationship Id="rId2" Type="http://schemas.openxmlformats.org/officeDocument/2006/relationships/image" Target="../media/image30.png"/><Relationship Id="rId1" Type="http://schemas.openxmlformats.org/officeDocument/2006/relationships/image" Target="../media/image29.png"/><Relationship Id="rId5" Type="http://schemas.openxmlformats.org/officeDocument/2006/relationships/image" Target="../media/image33.png"/><Relationship Id="rId4" Type="http://schemas.openxmlformats.org/officeDocument/2006/relationships/image" Target="../media/image3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6.png"/><Relationship Id="rId2" Type="http://schemas.openxmlformats.org/officeDocument/2006/relationships/image" Target="../media/image35.png"/><Relationship Id="rId1" Type="http://schemas.openxmlformats.org/officeDocument/2006/relationships/image" Target="../media/image34.png"/><Relationship Id="rId6" Type="http://schemas.openxmlformats.org/officeDocument/2006/relationships/image" Target="../media/image39.png"/><Relationship Id="rId5" Type="http://schemas.openxmlformats.org/officeDocument/2006/relationships/image" Target="../media/image38.png"/><Relationship Id="rId4" Type="http://schemas.openxmlformats.org/officeDocument/2006/relationships/image" Target="../media/image3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68580</xdr:colOff>
      <xdr:row>1</xdr:row>
      <xdr:rowOff>94090</xdr:rowOff>
    </xdr:from>
    <xdr:to>
      <xdr:col>7</xdr:col>
      <xdr:colOff>103825</xdr:colOff>
      <xdr:row>2</xdr:row>
      <xdr:rowOff>99060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7DB49EE-F3CE-1740-7D36-2C6A17EFF0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549140" y="551290"/>
          <a:ext cx="1284925" cy="446930"/>
        </a:xfrm>
        <a:prstGeom prst="rect">
          <a:avLst/>
        </a:prstGeom>
      </xdr:spPr>
    </xdr:pic>
    <xdr:clientData/>
  </xdr:twoCellAnchor>
  <xdr:twoCellAnchor editAs="oneCell">
    <xdr:from>
      <xdr:col>0</xdr:col>
      <xdr:colOff>106680</xdr:colOff>
      <xdr:row>7</xdr:row>
      <xdr:rowOff>30481</xdr:rowOff>
    </xdr:from>
    <xdr:to>
      <xdr:col>0</xdr:col>
      <xdr:colOff>386621</xdr:colOff>
      <xdr:row>7</xdr:row>
      <xdr:rowOff>220271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984E341-F77A-D212-DE27-9C20166278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6680" y="1645921"/>
          <a:ext cx="279941" cy="189790"/>
        </a:xfrm>
        <a:prstGeom prst="rect">
          <a:avLst/>
        </a:prstGeom>
      </xdr:spPr>
    </xdr:pic>
    <xdr:clientData/>
  </xdr:twoCellAnchor>
  <xdr:twoCellAnchor editAs="oneCell">
    <xdr:from>
      <xdr:col>0</xdr:col>
      <xdr:colOff>91440</xdr:colOff>
      <xdr:row>8</xdr:row>
      <xdr:rowOff>38291</xdr:rowOff>
    </xdr:from>
    <xdr:to>
      <xdr:col>0</xdr:col>
      <xdr:colOff>502920</xdr:colOff>
      <xdr:row>8</xdr:row>
      <xdr:rowOff>236219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ABEC9940-7CB6-F6E6-70EF-7CAD915253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1440" y="1928051"/>
          <a:ext cx="411480" cy="197928"/>
        </a:xfrm>
        <a:prstGeom prst="rect">
          <a:avLst/>
        </a:prstGeom>
      </xdr:spPr>
    </xdr:pic>
    <xdr:clientData/>
  </xdr:twoCellAnchor>
  <xdr:twoCellAnchor editAs="oneCell">
    <xdr:from>
      <xdr:col>0</xdr:col>
      <xdr:colOff>91440</xdr:colOff>
      <xdr:row>9</xdr:row>
      <xdr:rowOff>22860</xdr:rowOff>
    </xdr:from>
    <xdr:to>
      <xdr:col>0</xdr:col>
      <xdr:colOff>426719</xdr:colOff>
      <xdr:row>9</xdr:row>
      <xdr:rowOff>353999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96B680EA-87CC-0821-2E59-BD462EA1EF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1440" y="2186940"/>
          <a:ext cx="335279" cy="331139"/>
        </a:xfrm>
        <a:prstGeom prst="rect">
          <a:avLst/>
        </a:prstGeom>
      </xdr:spPr>
    </xdr:pic>
    <xdr:clientData/>
  </xdr:twoCellAnchor>
  <xdr:twoCellAnchor editAs="oneCell">
    <xdr:from>
      <xdr:col>0</xdr:col>
      <xdr:colOff>60959</xdr:colOff>
      <xdr:row>10</xdr:row>
      <xdr:rowOff>15240</xdr:rowOff>
    </xdr:from>
    <xdr:to>
      <xdr:col>0</xdr:col>
      <xdr:colOff>550214</xdr:colOff>
      <xdr:row>10</xdr:row>
      <xdr:rowOff>335279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961FCE92-A5AD-FB0F-57E6-9F7B878D29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0959" y="2545080"/>
          <a:ext cx="489255" cy="320039"/>
        </a:xfrm>
        <a:prstGeom prst="rect">
          <a:avLst/>
        </a:prstGeom>
      </xdr:spPr>
    </xdr:pic>
    <xdr:clientData/>
  </xdr:twoCellAnchor>
  <xdr:twoCellAnchor editAs="oneCell">
    <xdr:from>
      <xdr:col>4</xdr:col>
      <xdr:colOff>556261</xdr:colOff>
      <xdr:row>13</xdr:row>
      <xdr:rowOff>170892</xdr:rowOff>
    </xdr:from>
    <xdr:to>
      <xdr:col>7</xdr:col>
      <xdr:colOff>379349</xdr:colOff>
      <xdr:row>14</xdr:row>
      <xdr:rowOff>99060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D8BC41B1-D873-0A49-0B41-8404C59890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411981" y="3462732"/>
          <a:ext cx="1697608" cy="438708"/>
        </a:xfrm>
        <a:prstGeom prst="rect">
          <a:avLst/>
        </a:prstGeom>
      </xdr:spPr>
    </xdr:pic>
    <xdr:clientData/>
  </xdr:twoCellAnchor>
  <xdr:twoCellAnchor editAs="oneCell">
    <xdr:from>
      <xdr:col>0</xdr:col>
      <xdr:colOff>68581</xdr:colOff>
      <xdr:row>22</xdr:row>
      <xdr:rowOff>30481</xdr:rowOff>
    </xdr:from>
    <xdr:to>
      <xdr:col>0</xdr:col>
      <xdr:colOff>693420</xdr:colOff>
      <xdr:row>22</xdr:row>
      <xdr:rowOff>245034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A44FF34E-2802-1AFE-D1E4-399CFFDA48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8581" y="4594861"/>
          <a:ext cx="624839" cy="214553"/>
        </a:xfrm>
        <a:prstGeom prst="rect">
          <a:avLst/>
        </a:prstGeom>
      </xdr:spPr>
    </xdr:pic>
    <xdr:clientData/>
  </xdr:twoCellAnchor>
  <xdr:twoCellAnchor editAs="oneCell">
    <xdr:from>
      <xdr:col>0</xdr:col>
      <xdr:colOff>99060</xdr:colOff>
      <xdr:row>19</xdr:row>
      <xdr:rowOff>45720</xdr:rowOff>
    </xdr:from>
    <xdr:to>
      <xdr:col>0</xdr:col>
      <xdr:colOff>379001</xdr:colOff>
      <xdr:row>19</xdr:row>
      <xdr:rowOff>235510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E37AF369-0364-4FCF-A283-56B4D61229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99060" y="4884420"/>
          <a:ext cx="279941" cy="189790"/>
        </a:xfrm>
        <a:prstGeom prst="rect">
          <a:avLst/>
        </a:prstGeom>
      </xdr:spPr>
    </xdr:pic>
    <xdr:clientData/>
  </xdr:twoCellAnchor>
  <xdr:twoCellAnchor editAs="oneCell">
    <xdr:from>
      <xdr:col>0</xdr:col>
      <xdr:colOff>129541</xdr:colOff>
      <xdr:row>20</xdr:row>
      <xdr:rowOff>22860</xdr:rowOff>
    </xdr:from>
    <xdr:to>
      <xdr:col>0</xdr:col>
      <xdr:colOff>381001</xdr:colOff>
      <xdr:row>20</xdr:row>
      <xdr:rowOff>329327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1126F44E-C241-9847-4BFE-AB0B4EF7E6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29541" y="5135880"/>
          <a:ext cx="251460" cy="306467"/>
        </a:xfrm>
        <a:prstGeom prst="rect">
          <a:avLst/>
        </a:prstGeom>
      </xdr:spPr>
    </xdr:pic>
    <xdr:clientData/>
  </xdr:twoCellAnchor>
  <xdr:twoCellAnchor editAs="oneCell">
    <xdr:from>
      <xdr:col>0</xdr:col>
      <xdr:colOff>76200</xdr:colOff>
      <xdr:row>21</xdr:row>
      <xdr:rowOff>22860</xdr:rowOff>
    </xdr:from>
    <xdr:to>
      <xdr:col>0</xdr:col>
      <xdr:colOff>487680</xdr:colOff>
      <xdr:row>21</xdr:row>
      <xdr:rowOff>336189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77590761-4710-2105-5BE8-0F39572CD3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76200" y="5494020"/>
          <a:ext cx="411480" cy="313329"/>
        </a:xfrm>
        <a:prstGeom prst="rect">
          <a:avLst/>
        </a:prstGeom>
      </xdr:spPr>
    </xdr:pic>
    <xdr:clientData/>
  </xdr:twoCellAnchor>
  <xdr:twoCellAnchor editAs="oneCell">
    <xdr:from>
      <xdr:col>0</xdr:col>
      <xdr:colOff>83820</xdr:colOff>
      <xdr:row>23</xdr:row>
      <xdr:rowOff>22861</xdr:rowOff>
    </xdr:from>
    <xdr:to>
      <xdr:col>0</xdr:col>
      <xdr:colOff>929640</xdr:colOff>
      <xdr:row>23</xdr:row>
      <xdr:rowOff>257135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993FCEFE-904D-D7C8-7E82-07E0E22AEA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3820" y="5844541"/>
          <a:ext cx="845820" cy="23427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45721</xdr:colOff>
      <xdr:row>2</xdr:row>
      <xdr:rowOff>30480</xdr:rowOff>
    </xdr:from>
    <xdr:to>
      <xdr:col>6</xdr:col>
      <xdr:colOff>228600</xdr:colOff>
      <xdr:row>3</xdr:row>
      <xdr:rowOff>105529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9A08B23-6DA7-F26D-1C1D-E7DB036AEF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411981" y="617220"/>
          <a:ext cx="1432559" cy="486529"/>
        </a:xfrm>
        <a:prstGeom prst="rect">
          <a:avLst/>
        </a:prstGeom>
      </xdr:spPr>
    </xdr:pic>
    <xdr:clientData/>
  </xdr:twoCellAnchor>
  <xdr:twoCellAnchor editAs="oneCell">
    <xdr:from>
      <xdr:col>0</xdr:col>
      <xdr:colOff>106680</xdr:colOff>
      <xdr:row>8</xdr:row>
      <xdr:rowOff>30481</xdr:rowOff>
    </xdr:from>
    <xdr:to>
      <xdr:col>0</xdr:col>
      <xdr:colOff>386621</xdr:colOff>
      <xdr:row>8</xdr:row>
      <xdr:rowOff>220271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AE4FA81-A082-4F84-9D24-84C6A5F134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6680" y="1714501"/>
          <a:ext cx="279941" cy="189790"/>
        </a:xfrm>
        <a:prstGeom prst="rect">
          <a:avLst/>
        </a:prstGeom>
      </xdr:spPr>
    </xdr:pic>
    <xdr:clientData/>
  </xdr:twoCellAnchor>
  <xdr:twoCellAnchor editAs="oneCell">
    <xdr:from>
      <xdr:col>0</xdr:col>
      <xdr:colOff>68580</xdr:colOff>
      <xdr:row>9</xdr:row>
      <xdr:rowOff>45721</xdr:rowOff>
    </xdr:from>
    <xdr:to>
      <xdr:col>0</xdr:col>
      <xdr:colOff>560069</xdr:colOff>
      <xdr:row>9</xdr:row>
      <xdr:rowOff>228601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4EAE182B-9BB7-B37A-9F39-9426DF4568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8580" y="1988821"/>
          <a:ext cx="491489" cy="182880"/>
        </a:xfrm>
        <a:prstGeom prst="rect">
          <a:avLst/>
        </a:prstGeom>
      </xdr:spPr>
    </xdr:pic>
    <xdr:clientData/>
  </xdr:twoCellAnchor>
  <xdr:twoCellAnchor editAs="oneCell">
    <xdr:from>
      <xdr:col>0</xdr:col>
      <xdr:colOff>68581</xdr:colOff>
      <xdr:row>10</xdr:row>
      <xdr:rowOff>38101</xdr:rowOff>
    </xdr:from>
    <xdr:to>
      <xdr:col>0</xdr:col>
      <xdr:colOff>419101</xdr:colOff>
      <xdr:row>10</xdr:row>
      <xdr:rowOff>294099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5ACBE8A6-1E00-1174-B955-C783238514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8581" y="2255521"/>
          <a:ext cx="350520" cy="255998"/>
        </a:xfrm>
        <a:prstGeom prst="rect">
          <a:avLst/>
        </a:prstGeom>
      </xdr:spPr>
    </xdr:pic>
    <xdr:clientData/>
  </xdr:twoCellAnchor>
  <xdr:twoCellAnchor editAs="oneCell">
    <xdr:from>
      <xdr:col>0</xdr:col>
      <xdr:colOff>60960</xdr:colOff>
      <xdr:row>11</xdr:row>
      <xdr:rowOff>30480</xdr:rowOff>
    </xdr:from>
    <xdr:to>
      <xdr:col>0</xdr:col>
      <xdr:colOff>521245</xdr:colOff>
      <xdr:row>11</xdr:row>
      <xdr:rowOff>371679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79B346F0-EE89-2BCA-EFF2-6ECAEBA0515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/>
        <a:srcRect r="4119"/>
        <a:stretch/>
      </xdr:blipFill>
      <xdr:spPr>
        <a:xfrm>
          <a:off x="60960" y="2690468"/>
          <a:ext cx="460285" cy="341199"/>
        </a:xfrm>
        <a:prstGeom prst="rect">
          <a:avLst/>
        </a:prstGeom>
      </xdr:spPr>
    </xdr:pic>
    <xdr:clientData/>
  </xdr:twoCellAnchor>
  <xdr:twoCellAnchor editAs="oneCell">
    <xdr:from>
      <xdr:col>0</xdr:col>
      <xdr:colOff>83820</xdr:colOff>
      <xdr:row>12</xdr:row>
      <xdr:rowOff>38100</xdr:rowOff>
    </xdr:from>
    <xdr:to>
      <xdr:col>0</xdr:col>
      <xdr:colOff>773687</xdr:colOff>
      <xdr:row>12</xdr:row>
      <xdr:rowOff>382541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DC7392BF-F4EF-D878-5B23-FEA72EC38AB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/>
        <a:srcRect r="3687"/>
        <a:stretch/>
      </xdr:blipFill>
      <xdr:spPr>
        <a:xfrm>
          <a:off x="83820" y="3102462"/>
          <a:ext cx="689867" cy="34444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106680</xdr:colOff>
      <xdr:row>9</xdr:row>
      <xdr:rowOff>30481</xdr:rowOff>
    </xdr:from>
    <xdr:to>
      <xdr:col>0</xdr:col>
      <xdr:colOff>386621</xdr:colOff>
      <xdr:row>9</xdr:row>
      <xdr:rowOff>220271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5A2E685-E6A1-46FD-A683-32BEAE2708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6680" y="1798321"/>
          <a:ext cx="279941" cy="189790"/>
        </a:xfrm>
        <a:prstGeom prst="rect">
          <a:avLst/>
        </a:prstGeom>
      </xdr:spPr>
    </xdr:pic>
    <xdr:clientData/>
  </xdr:twoCellAnchor>
  <xdr:twoCellAnchor editAs="oneCell">
    <xdr:from>
      <xdr:col>4</xdr:col>
      <xdr:colOff>251460</xdr:colOff>
      <xdr:row>2</xdr:row>
      <xdr:rowOff>99060</xdr:rowOff>
    </xdr:from>
    <xdr:to>
      <xdr:col>6</xdr:col>
      <xdr:colOff>243841</xdr:colOff>
      <xdr:row>3</xdr:row>
      <xdr:rowOff>97265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CD52AE68-14A3-6A03-AFB9-C9D986BE05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617720" y="701040"/>
          <a:ext cx="1242061" cy="409685"/>
        </a:xfrm>
        <a:prstGeom prst="rect">
          <a:avLst/>
        </a:prstGeom>
      </xdr:spPr>
    </xdr:pic>
    <xdr:clientData/>
  </xdr:twoCellAnchor>
  <xdr:twoCellAnchor editAs="oneCell">
    <xdr:from>
      <xdr:col>0</xdr:col>
      <xdr:colOff>97693</xdr:colOff>
      <xdr:row>10</xdr:row>
      <xdr:rowOff>23968</xdr:rowOff>
    </xdr:from>
    <xdr:to>
      <xdr:col>0</xdr:col>
      <xdr:colOff>289822</xdr:colOff>
      <xdr:row>10</xdr:row>
      <xdr:rowOff>343886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CBDC012A-65A7-9879-D809-4B09559B754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9695" r="15518"/>
        <a:stretch/>
      </xdr:blipFill>
      <xdr:spPr>
        <a:xfrm>
          <a:off x="97693" y="2222045"/>
          <a:ext cx="192129" cy="319918"/>
        </a:xfrm>
        <a:prstGeom prst="rect">
          <a:avLst/>
        </a:prstGeom>
      </xdr:spPr>
    </xdr:pic>
    <xdr:clientData/>
  </xdr:twoCellAnchor>
  <xdr:twoCellAnchor editAs="oneCell">
    <xdr:from>
      <xdr:col>0</xdr:col>
      <xdr:colOff>45590</xdr:colOff>
      <xdr:row>11</xdr:row>
      <xdr:rowOff>13027</xdr:rowOff>
    </xdr:from>
    <xdr:to>
      <xdr:col>0</xdr:col>
      <xdr:colOff>547077</xdr:colOff>
      <xdr:row>11</xdr:row>
      <xdr:rowOff>322693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C176471-482A-A02F-9A0D-9FD5F03E6BA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r="3750"/>
        <a:stretch/>
      </xdr:blipFill>
      <xdr:spPr>
        <a:xfrm>
          <a:off x="45590" y="2575822"/>
          <a:ext cx="501487" cy="30966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127354</xdr:colOff>
      <xdr:row>9</xdr:row>
      <xdr:rowOff>30481</xdr:rowOff>
    </xdr:from>
    <xdr:to>
      <xdr:col>0</xdr:col>
      <xdr:colOff>365947</xdr:colOff>
      <xdr:row>9</xdr:row>
      <xdr:rowOff>220271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E89705E-3736-411A-9561-92751B16AA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27354" y="1945006"/>
          <a:ext cx="238593" cy="189790"/>
        </a:xfrm>
        <a:prstGeom prst="rect">
          <a:avLst/>
        </a:prstGeom>
      </xdr:spPr>
    </xdr:pic>
    <xdr:clientData/>
  </xdr:twoCellAnchor>
  <xdr:twoCellAnchor editAs="oneCell">
    <xdr:from>
      <xdr:col>4</xdr:col>
      <xdr:colOff>251460</xdr:colOff>
      <xdr:row>2</xdr:row>
      <xdr:rowOff>119598</xdr:rowOff>
    </xdr:from>
    <xdr:to>
      <xdr:col>6</xdr:col>
      <xdr:colOff>243841</xdr:colOff>
      <xdr:row>3</xdr:row>
      <xdr:rowOff>76726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6AD6AC5-2595-4A63-B572-904CFA3F46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604385" y="719673"/>
          <a:ext cx="1230631" cy="366703"/>
        </a:xfrm>
        <a:prstGeom prst="rect">
          <a:avLst/>
        </a:prstGeom>
      </xdr:spPr>
    </xdr:pic>
    <xdr:clientData/>
  </xdr:twoCellAnchor>
  <xdr:twoCellAnchor editAs="oneCell">
    <xdr:from>
      <xdr:col>0</xdr:col>
      <xdr:colOff>97693</xdr:colOff>
      <xdr:row>10</xdr:row>
      <xdr:rowOff>23968</xdr:rowOff>
    </xdr:from>
    <xdr:to>
      <xdr:col>0</xdr:col>
      <xdr:colOff>260838</xdr:colOff>
      <xdr:row>10</xdr:row>
      <xdr:rowOff>343886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4243CCBF-695B-4EEF-8FF3-ECC78A66D20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956" r="17149"/>
        <a:stretch/>
      </xdr:blipFill>
      <xdr:spPr>
        <a:xfrm>
          <a:off x="97693" y="2204460"/>
          <a:ext cx="163145" cy="319918"/>
        </a:xfrm>
        <a:prstGeom prst="rect">
          <a:avLst/>
        </a:prstGeom>
      </xdr:spPr>
    </xdr:pic>
    <xdr:clientData/>
  </xdr:twoCellAnchor>
  <xdr:twoCellAnchor editAs="oneCell">
    <xdr:from>
      <xdr:col>0</xdr:col>
      <xdr:colOff>45590</xdr:colOff>
      <xdr:row>11</xdr:row>
      <xdr:rowOff>13027</xdr:rowOff>
    </xdr:from>
    <xdr:to>
      <xdr:col>0</xdr:col>
      <xdr:colOff>512885</xdr:colOff>
      <xdr:row>11</xdr:row>
      <xdr:rowOff>322693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470A1D29-09EB-4E98-8D92-6CDD0B08074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286" r="6819" b="1286"/>
        <a:stretch/>
      </xdr:blipFill>
      <xdr:spPr>
        <a:xfrm>
          <a:off x="45590" y="2556935"/>
          <a:ext cx="467295" cy="30966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106680</xdr:colOff>
      <xdr:row>12</xdr:row>
      <xdr:rowOff>61753</xdr:rowOff>
    </xdr:from>
    <xdr:to>
      <xdr:col>0</xdr:col>
      <xdr:colOff>495300</xdr:colOff>
      <xdr:row>12</xdr:row>
      <xdr:rowOff>238397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36017DA-6BF7-47E1-B424-12C665F645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6680" y="2347753"/>
          <a:ext cx="388620" cy="176644"/>
        </a:xfrm>
        <a:prstGeom prst="rect">
          <a:avLst/>
        </a:prstGeom>
      </xdr:spPr>
    </xdr:pic>
    <xdr:clientData/>
  </xdr:twoCellAnchor>
  <xdr:twoCellAnchor editAs="oneCell">
    <xdr:from>
      <xdr:col>4</xdr:col>
      <xdr:colOff>372707</xdr:colOff>
      <xdr:row>2</xdr:row>
      <xdr:rowOff>99060</xdr:rowOff>
    </xdr:from>
    <xdr:to>
      <xdr:col>5</xdr:col>
      <xdr:colOff>591108</xdr:colOff>
      <xdr:row>4</xdr:row>
      <xdr:rowOff>22860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53099F5-4901-4531-94E3-E45A8A2FC0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38967" y="701040"/>
          <a:ext cx="843241" cy="502920"/>
        </a:xfrm>
        <a:prstGeom prst="rect">
          <a:avLst/>
        </a:prstGeom>
      </xdr:spPr>
    </xdr:pic>
    <xdr:clientData/>
  </xdr:twoCellAnchor>
  <xdr:twoCellAnchor editAs="oneCell">
    <xdr:from>
      <xdr:col>0</xdr:col>
      <xdr:colOff>97693</xdr:colOff>
      <xdr:row>13</xdr:row>
      <xdr:rowOff>23968</xdr:rowOff>
    </xdr:from>
    <xdr:to>
      <xdr:col>0</xdr:col>
      <xdr:colOff>289822</xdr:colOff>
      <xdr:row>13</xdr:row>
      <xdr:rowOff>343886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5503022C-E591-4C92-AA50-6EC42F1F83E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9695" r="15518"/>
        <a:stretch/>
      </xdr:blipFill>
      <xdr:spPr>
        <a:xfrm>
          <a:off x="97693" y="2249008"/>
          <a:ext cx="192129" cy="319918"/>
        </a:xfrm>
        <a:prstGeom prst="rect">
          <a:avLst/>
        </a:prstGeom>
      </xdr:spPr>
    </xdr:pic>
    <xdr:clientData/>
  </xdr:twoCellAnchor>
  <xdr:twoCellAnchor editAs="oneCell">
    <xdr:from>
      <xdr:col>0</xdr:col>
      <xdr:colOff>68580</xdr:colOff>
      <xdr:row>14</xdr:row>
      <xdr:rowOff>15240</xdr:rowOff>
    </xdr:from>
    <xdr:to>
      <xdr:col>0</xdr:col>
      <xdr:colOff>358140</xdr:colOff>
      <xdr:row>15</xdr:row>
      <xdr:rowOff>3265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38F63969-70F3-0FBF-9736-758DEF125E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8580" y="2941320"/>
          <a:ext cx="289560" cy="33092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59055</xdr:colOff>
      <xdr:row>12</xdr:row>
      <xdr:rowOff>52228</xdr:rowOff>
    </xdr:from>
    <xdr:to>
      <xdr:col>0</xdr:col>
      <xdr:colOff>447675</xdr:colOff>
      <xdr:row>12</xdr:row>
      <xdr:rowOff>228872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4DBAD88-DBB1-4A99-8629-E9E5466F4E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59055" y="2709703"/>
          <a:ext cx="388620" cy="176644"/>
        </a:xfrm>
        <a:prstGeom prst="rect">
          <a:avLst/>
        </a:prstGeom>
      </xdr:spPr>
    </xdr:pic>
    <xdr:clientData/>
  </xdr:twoCellAnchor>
  <xdr:twoCellAnchor editAs="oneCell">
    <xdr:from>
      <xdr:col>4</xdr:col>
      <xdr:colOff>382048</xdr:colOff>
      <xdr:row>2</xdr:row>
      <xdr:rowOff>99060</xdr:rowOff>
    </xdr:from>
    <xdr:to>
      <xdr:col>5</xdr:col>
      <xdr:colOff>581766</xdr:colOff>
      <xdr:row>4</xdr:row>
      <xdr:rowOff>22860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D73BEDD-F316-4E8F-9C15-DFFD31F85F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973098" y="956310"/>
          <a:ext cx="818843" cy="495300"/>
        </a:xfrm>
        <a:prstGeom prst="rect">
          <a:avLst/>
        </a:prstGeom>
      </xdr:spPr>
    </xdr:pic>
    <xdr:clientData/>
  </xdr:twoCellAnchor>
  <xdr:twoCellAnchor editAs="oneCell">
    <xdr:from>
      <xdr:col>0</xdr:col>
      <xdr:colOff>73159</xdr:colOff>
      <xdr:row>14</xdr:row>
      <xdr:rowOff>15240</xdr:rowOff>
    </xdr:from>
    <xdr:to>
      <xdr:col>0</xdr:col>
      <xdr:colOff>353561</xdr:colOff>
      <xdr:row>15</xdr:row>
      <xdr:rowOff>3265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05C55C5-C17C-4693-9306-E25059C173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73159" y="3301365"/>
          <a:ext cx="280402" cy="330925"/>
        </a:xfrm>
        <a:prstGeom prst="rect">
          <a:avLst/>
        </a:prstGeom>
      </xdr:spPr>
    </xdr:pic>
    <xdr:clientData/>
  </xdr:twoCellAnchor>
  <xdr:twoCellAnchor editAs="oneCell">
    <xdr:from>
      <xdr:col>0</xdr:col>
      <xdr:colOff>66675</xdr:colOff>
      <xdr:row>13</xdr:row>
      <xdr:rowOff>38100</xdr:rowOff>
    </xdr:from>
    <xdr:to>
      <xdr:col>0</xdr:col>
      <xdr:colOff>457715</xdr:colOff>
      <xdr:row>13</xdr:row>
      <xdr:rowOff>333375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35E24DC5-C893-6FB3-D3AE-FAF2879559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6675" y="2962275"/>
          <a:ext cx="391040" cy="2952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108287</xdr:colOff>
      <xdr:row>11</xdr:row>
      <xdr:rowOff>61753</xdr:rowOff>
    </xdr:from>
    <xdr:to>
      <xdr:col>0</xdr:col>
      <xdr:colOff>493692</xdr:colOff>
      <xdr:row>11</xdr:row>
      <xdr:rowOff>238397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445913B-2D20-44B6-89B4-EF6828E82F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8287" y="2719228"/>
          <a:ext cx="385405" cy="176644"/>
        </a:xfrm>
        <a:prstGeom prst="rect">
          <a:avLst/>
        </a:prstGeom>
      </xdr:spPr>
    </xdr:pic>
    <xdr:clientData/>
  </xdr:twoCellAnchor>
  <xdr:twoCellAnchor editAs="oneCell">
    <xdr:from>
      <xdr:col>4</xdr:col>
      <xdr:colOff>144107</xdr:colOff>
      <xdr:row>2</xdr:row>
      <xdr:rowOff>103291</xdr:rowOff>
    </xdr:from>
    <xdr:to>
      <xdr:col>6</xdr:col>
      <xdr:colOff>134085</xdr:colOff>
      <xdr:row>5</xdr:row>
      <xdr:rowOff>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BCCE3A1-D7E6-4285-9119-34B15BD263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35157" y="960541"/>
          <a:ext cx="1228228" cy="630134"/>
        </a:xfrm>
        <a:prstGeom prst="rect">
          <a:avLst/>
        </a:prstGeom>
      </xdr:spPr>
    </xdr:pic>
    <xdr:clientData/>
  </xdr:twoCellAnchor>
  <xdr:twoCellAnchor editAs="oneCell">
    <xdr:from>
      <xdr:col>0</xdr:col>
      <xdr:colOff>104775</xdr:colOff>
      <xdr:row>12</xdr:row>
      <xdr:rowOff>76200</xdr:rowOff>
    </xdr:from>
    <xdr:to>
      <xdr:col>0</xdr:col>
      <xdr:colOff>733425</xdr:colOff>
      <xdr:row>12</xdr:row>
      <xdr:rowOff>239183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90B4C6C5-33B2-FE9E-F732-DEA8F2569E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4775" y="3000375"/>
          <a:ext cx="628650" cy="162983"/>
        </a:xfrm>
        <a:prstGeom prst="rect">
          <a:avLst/>
        </a:prstGeom>
      </xdr:spPr>
    </xdr:pic>
    <xdr:clientData/>
  </xdr:twoCellAnchor>
  <xdr:twoCellAnchor editAs="oneCell">
    <xdr:from>
      <xdr:col>0</xdr:col>
      <xdr:colOff>76200</xdr:colOff>
      <xdr:row>13</xdr:row>
      <xdr:rowOff>19051</xdr:rowOff>
    </xdr:from>
    <xdr:to>
      <xdr:col>0</xdr:col>
      <xdr:colOff>676275</xdr:colOff>
      <xdr:row>13</xdr:row>
      <xdr:rowOff>313167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DC42C6EB-6882-0599-3130-7500CAC9FC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6200" y="3228976"/>
          <a:ext cx="600075" cy="294116"/>
        </a:xfrm>
        <a:prstGeom prst="rect">
          <a:avLst/>
        </a:prstGeom>
      </xdr:spPr>
    </xdr:pic>
    <xdr:clientData/>
  </xdr:twoCellAnchor>
  <xdr:twoCellAnchor editAs="oneCell">
    <xdr:from>
      <xdr:col>0</xdr:col>
      <xdr:colOff>66675</xdr:colOff>
      <xdr:row>14</xdr:row>
      <xdr:rowOff>38100</xdr:rowOff>
    </xdr:from>
    <xdr:to>
      <xdr:col>0</xdr:col>
      <xdr:colOff>619124</xdr:colOff>
      <xdr:row>14</xdr:row>
      <xdr:rowOff>458756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6CD05E70-A35F-16F4-FDDC-5D3BE0722B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6675" y="3590925"/>
          <a:ext cx="552449" cy="420656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60959</xdr:colOff>
      <xdr:row>13</xdr:row>
      <xdr:rowOff>53341</xdr:rowOff>
    </xdr:from>
    <xdr:to>
      <xdr:col>0</xdr:col>
      <xdr:colOff>582712</xdr:colOff>
      <xdr:row>13</xdr:row>
      <xdr:rowOff>231763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6871092-871E-40F3-AC83-A08581A60E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0959" y="3604261"/>
          <a:ext cx="521753" cy="178422"/>
        </a:xfrm>
        <a:prstGeom prst="rect">
          <a:avLst/>
        </a:prstGeom>
      </xdr:spPr>
    </xdr:pic>
    <xdr:clientData/>
  </xdr:twoCellAnchor>
  <xdr:twoCellAnchor editAs="oneCell">
    <xdr:from>
      <xdr:col>4</xdr:col>
      <xdr:colOff>71176</xdr:colOff>
      <xdr:row>2</xdr:row>
      <xdr:rowOff>99060</xdr:rowOff>
    </xdr:from>
    <xdr:to>
      <xdr:col>6</xdr:col>
      <xdr:colOff>153906</xdr:colOff>
      <xdr:row>5</xdr:row>
      <xdr:rowOff>152400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68E5AF2-ECBB-482A-BCAE-B3B386FF57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582216" y="998220"/>
          <a:ext cx="1332410" cy="800100"/>
        </a:xfrm>
        <a:prstGeom prst="rect">
          <a:avLst/>
        </a:prstGeom>
      </xdr:spPr>
    </xdr:pic>
    <xdr:clientData/>
  </xdr:twoCellAnchor>
  <xdr:twoCellAnchor editAs="oneCell">
    <xdr:from>
      <xdr:col>0</xdr:col>
      <xdr:colOff>97693</xdr:colOff>
      <xdr:row>14</xdr:row>
      <xdr:rowOff>23968</xdr:rowOff>
    </xdr:from>
    <xdr:to>
      <xdr:col>0</xdr:col>
      <xdr:colOff>289822</xdr:colOff>
      <xdr:row>14</xdr:row>
      <xdr:rowOff>343886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6B84F7AB-900D-4353-A362-D255A817AC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3367" b="13367"/>
        <a:stretch/>
      </xdr:blipFill>
      <xdr:spPr>
        <a:xfrm>
          <a:off x="97693" y="3849208"/>
          <a:ext cx="192129" cy="319918"/>
        </a:xfrm>
        <a:prstGeom prst="rect">
          <a:avLst/>
        </a:prstGeom>
      </xdr:spPr>
    </xdr:pic>
    <xdr:clientData/>
  </xdr:twoCellAnchor>
  <xdr:twoCellAnchor editAs="oneCell">
    <xdr:from>
      <xdr:col>0</xdr:col>
      <xdr:colOff>68580</xdr:colOff>
      <xdr:row>15</xdr:row>
      <xdr:rowOff>38100</xdr:rowOff>
    </xdr:from>
    <xdr:to>
      <xdr:col>0</xdr:col>
      <xdr:colOff>260709</xdr:colOff>
      <xdr:row>15</xdr:row>
      <xdr:rowOff>358018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F1F75278-ABDB-4B94-902A-980B268664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9033" b="9033"/>
        <a:stretch/>
      </xdr:blipFill>
      <xdr:spPr>
        <a:xfrm>
          <a:off x="68580" y="4229100"/>
          <a:ext cx="192129" cy="31991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16</xdr:row>
      <xdr:rowOff>1</xdr:rowOff>
    </xdr:from>
    <xdr:to>
      <xdr:col>0</xdr:col>
      <xdr:colOff>556260</xdr:colOff>
      <xdr:row>16</xdr:row>
      <xdr:rowOff>448249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A0DF1D1F-B1EE-5185-00CF-B4B057E670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4594861"/>
          <a:ext cx="556260" cy="448248"/>
        </a:xfrm>
        <a:prstGeom prst="rect">
          <a:avLst/>
        </a:prstGeom>
      </xdr:spPr>
    </xdr:pic>
    <xdr:clientData/>
  </xdr:twoCellAnchor>
  <xdr:twoCellAnchor editAs="oneCell">
    <xdr:from>
      <xdr:col>0</xdr:col>
      <xdr:colOff>76200</xdr:colOff>
      <xdr:row>17</xdr:row>
      <xdr:rowOff>30480</xdr:rowOff>
    </xdr:from>
    <xdr:to>
      <xdr:col>0</xdr:col>
      <xdr:colOff>777240</xdr:colOff>
      <xdr:row>17</xdr:row>
      <xdr:rowOff>615837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85F16E68-8CDA-5C8B-B3FB-A398F72498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6200" y="5250180"/>
          <a:ext cx="701040" cy="58535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0B891-A577-4F2E-941C-D4457D29D99B}">
  <dimension ref="A1:J26"/>
  <sheetViews>
    <sheetView view="pageLayout" zoomScaleNormal="100" workbookViewId="0"/>
  </sheetViews>
  <sheetFormatPr defaultColWidth="0" defaultRowHeight="13.2" zeroHeight="1" x14ac:dyDescent="0.25"/>
  <cols>
    <col min="1" max="1" width="27.5546875" customWidth="1"/>
    <col min="2" max="2" width="9.5546875" bestFit="1" customWidth="1"/>
    <col min="3" max="8" width="8.88671875" customWidth="1"/>
    <col min="9" max="10" width="0" hidden="1" customWidth="1"/>
    <col min="11" max="16384" width="8.88671875" hidden="1"/>
  </cols>
  <sheetData>
    <row r="1" spans="1:10" ht="36" customHeight="1" x14ac:dyDescent="0.3">
      <c r="A1" s="3" t="s">
        <v>0</v>
      </c>
      <c r="B1" s="4"/>
      <c r="C1" s="4"/>
      <c r="D1" s="4"/>
      <c r="E1" s="4"/>
      <c r="F1" s="4"/>
      <c r="G1" s="4"/>
      <c r="H1" s="4"/>
      <c r="I1" s="1"/>
      <c r="J1" s="1"/>
    </row>
    <row r="2" spans="1:10" ht="34.950000000000003" customHeight="1" x14ac:dyDescent="0.25">
      <c r="A2" s="34" t="s">
        <v>8</v>
      </c>
      <c r="B2" s="34"/>
      <c r="C2" s="34"/>
      <c r="D2" s="34"/>
      <c r="E2" s="34"/>
      <c r="F2" s="5"/>
      <c r="G2" s="5"/>
      <c r="H2" s="5"/>
      <c r="I2" s="2"/>
      <c r="J2" s="2"/>
    </row>
    <row r="3" spans="1:10" x14ac:dyDescent="0.25">
      <c r="A3" s="8" t="s">
        <v>1</v>
      </c>
      <c r="B3" s="9">
        <v>0.95</v>
      </c>
      <c r="C3" s="6"/>
      <c r="D3" s="6"/>
      <c r="E3" s="6"/>
      <c r="F3" s="6"/>
      <c r="G3" s="6"/>
      <c r="H3" s="6"/>
    </row>
    <row r="4" spans="1:10" x14ac:dyDescent="0.25">
      <c r="A4" s="8" t="s">
        <v>3</v>
      </c>
      <c r="B4" s="11">
        <v>2</v>
      </c>
      <c r="C4" s="6"/>
      <c r="D4" s="6"/>
      <c r="E4" s="6"/>
      <c r="F4" s="6"/>
      <c r="G4" s="6"/>
      <c r="H4" s="6"/>
    </row>
    <row r="5" spans="1:10" x14ac:dyDescent="0.25">
      <c r="A5" s="8" t="s">
        <v>2</v>
      </c>
      <c r="B5" s="11">
        <v>1</v>
      </c>
      <c r="C5" s="6"/>
      <c r="D5" s="6"/>
      <c r="E5" s="6"/>
      <c r="F5" s="6"/>
      <c r="G5" s="6"/>
      <c r="H5" s="6"/>
    </row>
    <row r="6" spans="1:10" ht="9" customHeight="1" x14ac:dyDescent="0.25">
      <c r="A6" s="6"/>
      <c r="B6" s="6"/>
      <c r="C6" s="6"/>
      <c r="D6" s="6"/>
      <c r="E6" s="6"/>
      <c r="F6" s="6"/>
      <c r="G6" s="6"/>
      <c r="H6" s="6"/>
    </row>
    <row r="7" spans="1:10" x14ac:dyDescent="0.25">
      <c r="A7" s="12" t="s">
        <v>10</v>
      </c>
      <c r="B7" s="13" t="s">
        <v>5</v>
      </c>
      <c r="C7" s="6"/>
      <c r="D7" s="6"/>
      <c r="E7" s="6"/>
      <c r="F7" s="6"/>
      <c r="G7" s="6"/>
      <c r="H7" s="6"/>
    </row>
    <row r="8" spans="1:10" ht="21.6" customHeight="1" x14ac:dyDescent="0.25">
      <c r="A8" s="8"/>
      <c r="B8" s="14">
        <f>_xlfn.NORM.S.INV(B3+((1-B3)/2))</f>
        <v>1.9599639845400536</v>
      </c>
      <c r="C8" s="6"/>
      <c r="D8" s="6"/>
      <c r="E8" s="6"/>
      <c r="F8" s="6"/>
      <c r="G8" s="6"/>
      <c r="H8" s="6"/>
    </row>
    <row r="9" spans="1:10" ht="21.6" customHeight="1" x14ac:dyDescent="0.25">
      <c r="A9" s="8"/>
      <c r="B9" s="15">
        <f>B8*B5</f>
        <v>1.9599639845400536</v>
      </c>
      <c r="C9" s="6"/>
      <c r="D9" s="6"/>
      <c r="E9" s="6"/>
      <c r="F9" s="6"/>
      <c r="G9" s="6"/>
      <c r="H9" s="6"/>
    </row>
    <row r="10" spans="1:10" ht="28.95" customHeight="1" x14ac:dyDescent="0.25">
      <c r="A10" s="8"/>
      <c r="B10" s="15">
        <f>B9/B4</f>
        <v>0.9799819922700268</v>
      </c>
      <c r="C10" s="6"/>
      <c r="D10" s="6"/>
      <c r="E10" s="6"/>
      <c r="F10" s="6"/>
      <c r="G10" s="6"/>
      <c r="H10" s="6"/>
    </row>
    <row r="11" spans="1:10" ht="27.6" customHeight="1" x14ac:dyDescent="0.25">
      <c r="A11" s="8"/>
      <c r="B11" s="15">
        <f>POWER(B10,2)</f>
        <v>0.9603647051735309</v>
      </c>
      <c r="C11" s="6"/>
      <c r="D11" s="6"/>
      <c r="E11" s="6"/>
      <c r="F11" s="6"/>
      <c r="G11" s="6"/>
      <c r="H11" s="6"/>
    </row>
    <row r="12" spans="1:10" ht="13.8" x14ac:dyDescent="0.25">
      <c r="A12" s="16" t="s">
        <v>6</v>
      </c>
      <c r="B12" s="17">
        <f>_xlfn.CEILING.MATH(B11,1)</f>
        <v>1</v>
      </c>
      <c r="C12" s="6"/>
      <c r="D12" s="6"/>
      <c r="E12" s="6"/>
      <c r="F12" s="6"/>
      <c r="G12" s="6"/>
      <c r="H12" s="6"/>
    </row>
    <row r="13" spans="1:10" x14ac:dyDescent="0.25">
      <c r="A13" s="6"/>
      <c r="B13" s="6"/>
      <c r="C13" s="6"/>
      <c r="D13" s="6"/>
      <c r="E13" s="6"/>
      <c r="F13" s="6"/>
      <c r="G13" s="6"/>
      <c r="H13" s="6"/>
    </row>
    <row r="14" spans="1:10" ht="40.200000000000003" customHeight="1" x14ac:dyDescent="0.25">
      <c r="A14" s="34" t="s">
        <v>7</v>
      </c>
      <c r="B14" s="34"/>
      <c r="C14" s="34"/>
      <c r="D14" s="34"/>
      <c r="E14" s="34"/>
      <c r="F14" s="7"/>
      <c r="G14" s="7"/>
      <c r="H14" s="7"/>
    </row>
    <row r="15" spans="1:10" x14ac:dyDescent="0.25">
      <c r="A15" s="8" t="s">
        <v>1</v>
      </c>
      <c r="B15" s="9">
        <v>0.95</v>
      </c>
      <c r="C15" s="6"/>
      <c r="D15" s="6"/>
      <c r="E15" s="6"/>
      <c r="F15" s="6"/>
      <c r="G15" s="6"/>
      <c r="H15" s="6"/>
    </row>
    <row r="16" spans="1:10" x14ac:dyDescent="0.25">
      <c r="A16" s="8" t="s">
        <v>3</v>
      </c>
      <c r="B16" s="10">
        <v>0.01</v>
      </c>
      <c r="C16" s="6"/>
      <c r="D16" s="6"/>
      <c r="E16" s="6"/>
      <c r="F16" s="6"/>
      <c r="G16" s="6"/>
      <c r="H16" s="6"/>
    </row>
    <row r="17" spans="1:8" x14ac:dyDescent="0.25">
      <c r="A17" s="8" t="s">
        <v>9</v>
      </c>
      <c r="B17" s="10">
        <v>0.5</v>
      </c>
      <c r="C17" s="6"/>
      <c r="D17" s="6"/>
      <c r="E17" s="6"/>
      <c r="F17" s="6"/>
      <c r="G17" s="6"/>
      <c r="H17" s="6"/>
    </row>
    <row r="18" spans="1:8" ht="7.2" customHeight="1" x14ac:dyDescent="0.25">
      <c r="A18" s="6"/>
      <c r="B18" s="6"/>
      <c r="C18" s="6"/>
      <c r="D18" s="6"/>
      <c r="E18" s="6"/>
      <c r="F18" s="6"/>
      <c r="G18" s="6"/>
      <c r="H18" s="6"/>
    </row>
    <row r="19" spans="1:8" x14ac:dyDescent="0.25">
      <c r="A19" s="12" t="s">
        <v>10</v>
      </c>
      <c r="B19" s="13" t="s">
        <v>5</v>
      </c>
      <c r="C19" s="6"/>
      <c r="D19" s="6"/>
      <c r="E19" s="6"/>
      <c r="F19" s="6"/>
      <c r="G19" s="6"/>
      <c r="H19" s="6"/>
    </row>
    <row r="20" spans="1:8" ht="21.6" customHeight="1" x14ac:dyDescent="0.25">
      <c r="A20" s="8"/>
      <c r="B20" s="14">
        <f>_xlfn.NORM.S.INV(B15+((1-B15)/2))</f>
        <v>1.9599639845400536</v>
      </c>
      <c r="C20" s="6"/>
      <c r="D20" s="6"/>
      <c r="E20" s="6"/>
      <c r="F20" s="6"/>
      <c r="G20" s="6"/>
      <c r="H20" s="6"/>
    </row>
    <row r="21" spans="1:8" ht="28.2" customHeight="1" x14ac:dyDescent="0.25">
      <c r="A21" s="8"/>
      <c r="B21" s="15">
        <f>B20/B16</f>
        <v>195.99639845400534</v>
      </c>
      <c r="C21" s="6"/>
      <c r="D21" s="6"/>
      <c r="E21" s="6"/>
      <c r="F21" s="6"/>
      <c r="G21" s="6"/>
      <c r="H21" s="6"/>
    </row>
    <row r="22" spans="1:8" ht="27.6" customHeight="1" x14ac:dyDescent="0.25">
      <c r="A22" s="8"/>
      <c r="B22" s="15">
        <f>POWER(B21, 2)</f>
        <v>38414.588206941226</v>
      </c>
      <c r="C22" s="6"/>
      <c r="D22" s="6"/>
      <c r="E22" s="6"/>
      <c r="F22" s="6"/>
      <c r="G22" s="6"/>
      <c r="H22" s="6"/>
    </row>
    <row r="23" spans="1:8" ht="21.6" customHeight="1" x14ac:dyDescent="0.25">
      <c r="A23" s="8"/>
      <c r="B23" s="18">
        <f>B17*(1-B17)</f>
        <v>0.25</v>
      </c>
      <c r="C23" s="6"/>
      <c r="D23" s="6"/>
      <c r="E23" s="6"/>
      <c r="F23" s="6"/>
      <c r="G23" s="6"/>
      <c r="H23" s="6"/>
    </row>
    <row r="24" spans="1:8" ht="21.6" customHeight="1" x14ac:dyDescent="0.25">
      <c r="A24" s="8"/>
      <c r="B24" s="15">
        <f>B23*B22</f>
        <v>9603.6470517353064</v>
      </c>
      <c r="C24" s="6"/>
      <c r="D24" s="6"/>
      <c r="E24" s="6"/>
      <c r="F24" s="6"/>
      <c r="G24" s="6"/>
      <c r="H24" s="6"/>
    </row>
    <row r="25" spans="1:8" ht="13.8" x14ac:dyDescent="0.25">
      <c r="A25" s="16" t="s">
        <v>6</v>
      </c>
      <c r="B25" s="17">
        <f>_xlfn.CEILING.MATH(B24,1)</f>
        <v>9604</v>
      </c>
      <c r="C25" s="6"/>
      <c r="D25" s="6"/>
      <c r="E25" s="6"/>
      <c r="F25" s="6"/>
      <c r="G25" s="6"/>
      <c r="H25" s="6"/>
    </row>
    <row r="26" spans="1:8" x14ac:dyDescent="0.25">
      <c r="A26" s="6"/>
      <c r="B26" s="6"/>
      <c r="C26" s="6"/>
      <c r="D26" s="6"/>
      <c r="E26" s="6"/>
      <c r="F26" s="6"/>
      <c r="G26" s="6"/>
      <c r="H26" s="6"/>
    </row>
  </sheetData>
  <mergeCells count="2">
    <mergeCell ref="A14:E14"/>
    <mergeCell ref="A2:E2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B9F21-A26E-46DD-AA0D-9C3BDEAA41DC}">
  <dimension ref="A1:G16"/>
  <sheetViews>
    <sheetView view="pageLayout" zoomScaleNormal="100" workbookViewId="0"/>
  </sheetViews>
  <sheetFormatPr defaultColWidth="0" defaultRowHeight="13.2" x14ac:dyDescent="0.25"/>
  <cols>
    <col min="1" max="1" width="35.5546875" customWidth="1"/>
    <col min="2" max="7" width="8.88671875" customWidth="1"/>
    <col min="8" max="16384" width="8.88671875" hidden="1"/>
  </cols>
  <sheetData>
    <row r="1" spans="1:7" ht="33" customHeight="1" x14ac:dyDescent="0.3">
      <c r="A1" s="3" t="s">
        <v>11</v>
      </c>
      <c r="B1" s="6"/>
      <c r="C1" s="6"/>
      <c r="D1" s="6"/>
      <c r="E1" s="6"/>
      <c r="F1" s="6"/>
      <c r="G1" s="6"/>
    </row>
    <row r="2" spans="1:7" x14ac:dyDescent="0.25">
      <c r="A2" s="6"/>
      <c r="B2" s="6"/>
      <c r="C2" s="6"/>
      <c r="D2" s="6"/>
      <c r="E2" s="6"/>
      <c r="F2" s="6"/>
      <c r="G2" s="6"/>
    </row>
    <row r="3" spans="1:7" ht="32.4" customHeight="1" x14ac:dyDescent="0.25">
      <c r="A3" s="34" t="s">
        <v>12</v>
      </c>
      <c r="B3" s="34"/>
      <c r="C3" s="34"/>
      <c r="D3" s="34"/>
      <c r="E3" s="7"/>
      <c r="F3" s="7"/>
      <c r="G3" s="7"/>
    </row>
    <row r="4" spans="1:7" x14ac:dyDescent="0.25">
      <c r="A4" s="8" t="s">
        <v>1</v>
      </c>
      <c r="B4" s="9">
        <v>0.95</v>
      </c>
      <c r="C4" s="6"/>
      <c r="D4" s="6"/>
      <c r="E4" s="6"/>
      <c r="F4" s="6"/>
      <c r="G4" s="6"/>
    </row>
    <row r="5" spans="1:7" x14ac:dyDescent="0.25">
      <c r="A5" s="8" t="s">
        <v>4</v>
      </c>
      <c r="B5" s="20">
        <v>2000</v>
      </c>
      <c r="C5" s="6"/>
      <c r="D5" s="6"/>
      <c r="E5" s="6"/>
      <c r="F5" s="6"/>
      <c r="G5" s="6"/>
    </row>
    <row r="6" spans="1:7" x14ac:dyDescent="0.25">
      <c r="A6" s="8" t="s">
        <v>13</v>
      </c>
      <c r="B6" s="19">
        <f>1600/2000</f>
        <v>0.8</v>
      </c>
      <c r="C6" s="6"/>
      <c r="D6" s="6"/>
      <c r="E6" s="6"/>
      <c r="F6" s="6"/>
      <c r="G6" s="6"/>
    </row>
    <row r="7" spans="1:7" ht="7.95" customHeight="1" x14ac:dyDescent="0.25">
      <c r="A7" s="6"/>
      <c r="B7" s="6"/>
      <c r="C7" s="6"/>
      <c r="D7" s="6"/>
      <c r="E7" s="6"/>
      <c r="F7" s="6"/>
      <c r="G7" s="6"/>
    </row>
    <row r="8" spans="1:7" x14ac:dyDescent="0.25">
      <c r="A8" s="12" t="s">
        <v>10</v>
      </c>
      <c r="B8" s="13" t="s">
        <v>5</v>
      </c>
      <c r="C8" s="6"/>
      <c r="D8" s="6"/>
      <c r="E8" s="6"/>
      <c r="F8" s="6"/>
      <c r="G8" s="6"/>
    </row>
    <row r="9" spans="1:7" ht="21.6" customHeight="1" x14ac:dyDescent="0.25">
      <c r="A9" s="8"/>
      <c r="B9" s="14">
        <f>_xlfn.NORM.S.INV(B4+((1-B4)/2))</f>
        <v>1.9599639845400536</v>
      </c>
      <c r="C9" s="6"/>
      <c r="D9" s="6"/>
      <c r="E9" s="6"/>
      <c r="F9" s="6"/>
      <c r="G9" s="6"/>
    </row>
    <row r="10" spans="1:7" ht="21.6" customHeight="1" x14ac:dyDescent="0.25">
      <c r="A10" s="8"/>
      <c r="B10" s="21">
        <f>B6*(1-B6)</f>
        <v>0.15999999999999998</v>
      </c>
      <c r="C10" s="6"/>
      <c r="D10" s="6"/>
      <c r="E10" s="6"/>
      <c r="F10" s="6"/>
      <c r="G10" s="6"/>
    </row>
    <row r="11" spans="1:7" ht="27" customHeight="1" x14ac:dyDescent="0.25">
      <c r="A11" s="8"/>
      <c r="B11" s="18">
        <f>B10/B5</f>
        <v>7.9999999999999993E-5</v>
      </c>
      <c r="C11" s="6"/>
      <c r="D11" s="6"/>
      <c r="E11" s="6"/>
      <c r="F11" s="6"/>
      <c r="G11" s="6"/>
    </row>
    <row r="12" spans="1:7" ht="31.95" customHeight="1" x14ac:dyDescent="0.25">
      <c r="A12" s="8"/>
      <c r="B12" s="18">
        <f>SQRT(B11)</f>
        <v>8.9442719099991578E-3</v>
      </c>
      <c r="C12" s="6"/>
      <c r="D12" s="6"/>
      <c r="E12" s="6"/>
      <c r="F12" s="6"/>
      <c r="G12" s="6"/>
    </row>
    <row r="13" spans="1:7" ht="31.95" customHeight="1" x14ac:dyDescent="0.25">
      <c r="A13" s="8"/>
      <c r="B13" s="18">
        <f>B9*B12</f>
        <v>1.7530450811531626E-2</v>
      </c>
      <c r="C13" s="6"/>
      <c r="D13" s="6"/>
      <c r="E13" s="6"/>
      <c r="F13" s="6"/>
      <c r="G13" s="6"/>
    </row>
    <row r="14" spans="1:7" ht="13.8" x14ac:dyDescent="0.25">
      <c r="A14" s="16" t="s">
        <v>14</v>
      </c>
      <c r="B14" s="22">
        <f>B6-B13</f>
        <v>0.78246954918846845</v>
      </c>
      <c r="C14" s="6"/>
      <c r="D14" s="6"/>
      <c r="E14" s="6"/>
      <c r="F14" s="6"/>
      <c r="G14" s="6"/>
    </row>
    <row r="15" spans="1:7" ht="13.8" x14ac:dyDescent="0.25">
      <c r="A15" s="16" t="s">
        <v>15</v>
      </c>
      <c r="B15" s="22">
        <f>B6+B13</f>
        <v>0.81753045081153164</v>
      </c>
      <c r="C15" s="6"/>
      <c r="D15" s="6"/>
      <c r="E15" s="6"/>
      <c r="F15" s="6"/>
      <c r="G15" s="6"/>
    </row>
    <row r="16" spans="1:7" x14ac:dyDescent="0.25">
      <c r="A16" s="6"/>
      <c r="B16" s="6"/>
      <c r="C16" s="6"/>
      <c r="D16" s="6"/>
      <c r="E16" s="6"/>
      <c r="F16" s="6"/>
      <c r="G16" s="6"/>
    </row>
  </sheetData>
  <mergeCells count="1">
    <mergeCell ref="A3:D3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271216-F8F0-4C3B-BBFB-B8AB6B1E6E25}">
  <dimension ref="A1:G15"/>
  <sheetViews>
    <sheetView view="pageLayout" topLeftCell="A2" zoomScaleNormal="100" workbookViewId="0">
      <selection activeCell="B4" sqref="B4"/>
    </sheetView>
  </sheetViews>
  <sheetFormatPr defaultColWidth="0" defaultRowHeight="13.2" x14ac:dyDescent="0.25"/>
  <cols>
    <col min="1" max="1" width="35.5546875" customWidth="1"/>
    <col min="2" max="7" width="8.88671875" customWidth="1"/>
    <col min="8" max="16384" width="8.88671875" hidden="1"/>
  </cols>
  <sheetData>
    <row r="1" spans="1:7" ht="33" customHeight="1" x14ac:dyDescent="0.3">
      <c r="A1" s="3" t="s">
        <v>16</v>
      </c>
      <c r="B1" s="6"/>
      <c r="C1" s="6"/>
      <c r="D1" s="6"/>
      <c r="E1" s="6"/>
      <c r="F1" s="6"/>
      <c r="G1" s="6"/>
    </row>
    <row r="2" spans="1:7" ht="14.4" x14ac:dyDescent="0.3">
      <c r="A2" s="24" t="s">
        <v>19</v>
      </c>
      <c r="B2" s="6"/>
      <c r="C2" s="6"/>
      <c r="D2" s="6"/>
      <c r="E2" s="6"/>
      <c r="F2" s="6"/>
      <c r="G2" s="6"/>
    </row>
    <row r="3" spans="1:7" ht="32.4" customHeight="1" x14ac:dyDescent="0.25">
      <c r="A3" s="34" t="s">
        <v>17</v>
      </c>
      <c r="B3" s="34"/>
      <c r="C3" s="34"/>
      <c r="D3" s="34"/>
      <c r="E3" s="7"/>
      <c r="F3" s="7"/>
      <c r="G3" s="7"/>
    </row>
    <row r="4" spans="1:7" x14ac:dyDescent="0.25">
      <c r="A4" s="8" t="s">
        <v>1</v>
      </c>
      <c r="B4" s="9">
        <v>0.95</v>
      </c>
      <c r="C4" s="6"/>
      <c r="D4" s="6"/>
      <c r="E4" s="6"/>
      <c r="F4" s="6"/>
      <c r="G4" s="6"/>
    </row>
    <row r="5" spans="1:7" x14ac:dyDescent="0.25">
      <c r="A5" s="8" t="s">
        <v>4</v>
      </c>
      <c r="B5" s="20">
        <v>100</v>
      </c>
      <c r="C5" s="6"/>
      <c r="D5" s="6"/>
      <c r="E5" s="6"/>
      <c r="F5" s="6"/>
      <c r="G5" s="6"/>
    </row>
    <row r="6" spans="1:7" x14ac:dyDescent="0.25">
      <c r="A6" s="8" t="s">
        <v>2</v>
      </c>
      <c r="B6" s="23">
        <v>1</v>
      </c>
      <c r="C6" s="6"/>
      <c r="D6" s="6"/>
      <c r="E6" s="6"/>
      <c r="F6" s="6"/>
      <c r="G6" s="6"/>
    </row>
    <row r="7" spans="1:7" x14ac:dyDescent="0.25">
      <c r="A7" s="8" t="s">
        <v>18</v>
      </c>
      <c r="B7" s="23">
        <v>0</v>
      </c>
      <c r="C7" s="6"/>
      <c r="D7" s="6"/>
      <c r="E7" s="6"/>
      <c r="F7" s="6"/>
      <c r="G7" s="6"/>
    </row>
    <row r="8" spans="1:7" ht="7.95" customHeight="1" x14ac:dyDescent="0.25">
      <c r="A8" s="6"/>
      <c r="B8" s="6"/>
      <c r="C8" s="6"/>
      <c r="D8" s="6"/>
      <c r="E8" s="6"/>
      <c r="F8" s="6"/>
      <c r="G8" s="6"/>
    </row>
    <row r="9" spans="1:7" x14ac:dyDescent="0.25">
      <c r="A9" s="12" t="s">
        <v>10</v>
      </c>
      <c r="B9" s="13" t="s">
        <v>5</v>
      </c>
      <c r="C9" s="6"/>
      <c r="D9" s="6"/>
      <c r="E9" s="6"/>
      <c r="F9" s="6"/>
      <c r="G9" s="6"/>
    </row>
    <row r="10" spans="1:7" ht="21.6" customHeight="1" x14ac:dyDescent="0.25">
      <c r="A10" s="8"/>
      <c r="B10" s="14">
        <f>_xlfn.NORM.S.INV(B4+((1-B4)/2))</f>
        <v>1.9599639845400536</v>
      </c>
      <c r="C10" s="6"/>
      <c r="D10" s="6"/>
      <c r="E10" s="6"/>
      <c r="F10" s="6"/>
      <c r="G10" s="6"/>
    </row>
    <row r="11" spans="1:7" ht="28.95" customHeight="1" x14ac:dyDescent="0.25">
      <c r="A11" s="8"/>
      <c r="B11" s="14">
        <f>B6/SQRT(B5)</f>
        <v>0.1</v>
      </c>
      <c r="C11" s="6"/>
      <c r="D11" s="6"/>
      <c r="E11" s="6"/>
      <c r="F11" s="6"/>
      <c r="G11" s="6"/>
    </row>
    <row r="12" spans="1:7" ht="27" customHeight="1" x14ac:dyDescent="0.25">
      <c r="A12" s="8"/>
      <c r="B12" s="14">
        <f>B10*B11</f>
        <v>0.19599639845400538</v>
      </c>
      <c r="C12" s="6"/>
      <c r="D12" s="6"/>
      <c r="E12" s="6"/>
      <c r="F12" s="6"/>
      <c r="G12" s="6"/>
    </row>
    <row r="13" spans="1:7" ht="13.8" x14ac:dyDescent="0.25">
      <c r="A13" s="16" t="s">
        <v>14</v>
      </c>
      <c r="B13" s="36">
        <f>B7-B12</f>
        <v>-0.19599639845400538</v>
      </c>
      <c r="C13" s="6"/>
      <c r="D13" s="6"/>
      <c r="E13" s="6"/>
      <c r="F13" s="6"/>
      <c r="G13" s="6"/>
    </row>
    <row r="14" spans="1:7" ht="13.8" x14ac:dyDescent="0.25">
      <c r="A14" s="16" t="s">
        <v>15</v>
      </c>
      <c r="B14" s="36">
        <f>B7+B12</f>
        <v>0.19599639845400538</v>
      </c>
      <c r="C14" s="6"/>
      <c r="D14" s="6"/>
      <c r="E14" s="6"/>
      <c r="F14" s="6"/>
      <c r="G14" s="6"/>
    </row>
    <row r="15" spans="1:7" x14ac:dyDescent="0.25">
      <c r="A15" s="6"/>
      <c r="B15" s="6"/>
      <c r="C15" s="6"/>
      <c r="D15" s="6"/>
      <c r="E15" s="6"/>
      <c r="F15" s="6"/>
      <c r="G15" s="6"/>
    </row>
  </sheetData>
  <mergeCells count="1">
    <mergeCell ref="A3:D3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AE1AD8-3C6D-4B76-B0D4-D1987C9F4476}">
  <dimension ref="A1:G15"/>
  <sheetViews>
    <sheetView view="pageLayout" topLeftCell="A3" zoomScaleNormal="100" workbookViewId="0">
      <selection activeCell="B6" sqref="B6"/>
    </sheetView>
  </sheetViews>
  <sheetFormatPr defaultColWidth="0" defaultRowHeight="13.2" x14ac:dyDescent="0.25"/>
  <cols>
    <col min="1" max="1" width="35.5546875" customWidth="1"/>
    <col min="2" max="7" width="8.88671875" customWidth="1"/>
    <col min="8" max="16384" width="8.88671875" hidden="1"/>
  </cols>
  <sheetData>
    <row r="1" spans="1:7" ht="33" customHeight="1" x14ac:dyDescent="0.3">
      <c r="A1" s="3" t="s">
        <v>16</v>
      </c>
      <c r="B1" s="6"/>
      <c r="C1" s="6"/>
      <c r="D1" s="6"/>
      <c r="E1" s="6"/>
      <c r="F1" s="6"/>
      <c r="G1" s="6"/>
    </row>
    <row r="2" spans="1:7" ht="14.4" x14ac:dyDescent="0.3">
      <c r="A2" s="24" t="s">
        <v>20</v>
      </c>
      <c r="B2" s="6"/>
      <c r="C2" s="6"/>
      <c r="D2" s="6"/>
      <c r="E2" s="6"/>
      <c r="F2" s="6"/>
      <c r="G2" s="6"/>
    </row>
    <row r="3" spans="1:7" ht="32.4" customHeight="1" x14ac:dyDescent="0.25">
      <c r="A3" s="34" t="s">
        <v>17</v>
      </c>
      <c r="B3" s="34"/>
      <c r="C3" s="34"/>
      <c r="D3" s="34"/>
      <c r="E3" s="7"/>
      <c r="F3" s="7"/>
      <c r="G3" s="7"/>
    </row>
    <row r="4" spans="1:7" x14ac:dyDescent="0.25">
      <c r="A4" s="8" t="s">
        <v>1</v>
      </c>
      <c r="B4" s="9">
        <v>0.95</v>
      </c>
      <c r="C4" s="6"/>
      <c r="D4" s="6"/>
      <c r="E4" s="6"/>
      <c r="F4" s="6"/>
      <c r="G4" s="6"/>
    </row>
    <row r="5" spans="1:7" x14ac:dyDescent="0.25">
      <c r="A5" s="8" t="s">
        <v>4</v>
      </c>
      <c r="B5" s="20">
        <v>30</v>
      </c>
      <c r="C5" s="6"/>
      <c r="D5" s="6"/>
      <c r="E5" s="6"/>
      <c r="F5" s="6"/>
      <c r="G5" s="6"/>
    </row>
    <row r="6" spans="1:7" x14ac:dyDescent="0.25">
      <c r="A6" s="8" t="s">
        <v>21</v>
      </c>
      <c r="B6" s="23">
        <v>1</v>
      </c>
      <c r="C6" s="6"/>
      <c r="D6" s="6"/>
      <c r="E6" s="6"/>
      <c r="F6" s="6"/>
      <c r="G6" s="6"/>
    </row>
    <row r="7" spans="1:7" x14ac:dyDescent="0.25">
      <c r="A7" s="8" t="s">
        <v>18</v>
      </c>
      <c r="B7" s="23">
        <v>0</v>
      </c>
      <c r="C7" s="6"/>
      <c r="D7" s="6"/>
      <c r="E7" s="6"/>
      <c r="F7" s="6"/>
      <c r="G7" s="6"/>
    </row>
    <row r="8" spans="1:7" ht="7.95" customHeight="1" x14ac:dyDescent="0.25">
      <c r="A8" s="6"/>
      <c r="B8" s="6"/>
      <c r="C8" s="6"/>
      <c r="D8" s="6"/>
      <c r="E8" s="6"/>
      <c r="F8" s="6"/>
      <c r="G8" s="6"/>
    </row>
    <row r="9" spans="1:7" x14ac:dyDescent="0.25">
      <c r="A9" s="12" t="s">
        <v>10</v>
      </c>
      <c r="B9" s="13" t="s">
        <v>5</v>
      </c>
      <c r="C9" s="6"/>
      <c r="D9" s="6"/>
      <c r="E9" s="6"/>
      <c r="F9" s="6"/>
      <c r="G9" s="6"/>
    </row>
    <row r="10" spans="1:7" ht="21.6" customHeight="1" x14ac:dyDescent="0.25">
      <c r="A10" s="8"/>
      <c r="B10" s="14">
        <f>_xlfn.T.INV(B4+((1-B4)/2), B5)</f>
        <v>2.0422724563012378</v>
      </c>
      <c r="C10" s="6"/>
      <c r="D10" s="6"/>
      <c r="E10" s="6"/>
      <c r="F10" s="6"/>
      <c r="G10" s="6"/>
    </row>
    <row r="11" spans="1:7" ht="28.95" customHeight="1" x14ac:dyDescent="0.25">
      <c r="A11" s="8"/>
      <c r="B11" s="14">
        <f>B6/SQRT(B5)</f>
        <v>0.18257418583505536</v>
      </c>
      <c r="C11" s="6"/>
      <c r="D11" s="6"/>
      <c r="E11" s="6"/>
      <c r="F11" s="6"/>
      <c r="G11" s="6"/>
    </row>
    <row r="12" spans="1:7" ht="27" customHeight="1" x14ac:dyDescent="0.25">
      <c r="A12" s="8"/>
      <c r="B12" s="14">
        <f>B10*B11</f>
        <v>0.37286623096255717</v>
      </c>
      <c r="C12" s="6"/>
      <c r="D12" s="6"/>
      <c r="E12" s="6"/>
      <c r="F12" s="6"/>
      <c r="G12" s="6"/>
    </row>
    <row r="13" spans="1:7" ht="13.8" x14ac:dyDescent="0.25">
      <c r="A13" s="16" t="s">
        <v>14</v>
      </c>
      <c r="B13" s="36">
        <f>B7-B12</f>
        <v>-0.37286623096255717</v>
      </c>
      <c r="C13" s="6"/>
      <c r="D13" s="6"/>
      <c r="E13" s="6"/>
      <c r="F13" s="6"/>
      <c r="G13" s="6"/>
    </row>
    <row r="14" spans="1:7" ht="13.8" x14ac:dyDescent="0.25">
      <c r="A14" s="16" t="s">
        <v>15</v>
      </c>
      <c r="B14" s="36">
        <f>B7+B12</f>
        <v>0.37286623096255717</v>
      </c>
      <c r="C14" s="6"/>
      <c r="D14" s="6"/>
      <c r="E14" s="6"/>
      <c r="F14" s="6"/>
      <c r="G14" s="6"/>
    </row>
    <row r="15" spans="1:7" x14ac:dyDescent="0.25">
      <c r="A15" s="6"/>
      <c r="B15" s="6"/>
      <c r="C15" s="6"/>
      <c r="D15" s="6"/>
      <c r="E15" s="6"/>
      <c r="F15" s="6"/>
      <c r="G15" s="6"/>
    </row>
  </sheetData>
  <mergeCells count="1">
    <mergeCell ref="A3:D3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922983-1BEF-4740-AB77-2ADEBF539C6C}">
  <dimension ref="A1:G19"/>
  <sheetViews>
    <sheetView view="pageLayout" zoomScaleNormal="100" workbookViewId="0"/>
  </sheetViews>
  <sheetFormatPr defaultColWidth="0" defaultRowHeight="13.2" x14ac:dyDescent="0.25"/>
  <cols>
    <col min="1" max="1" width="31.6640625" customWidth="1"/>
    <col min="2" max="2" width="12.33203125" bestFit="1" customWidth="1"/>
    <col min="3" max="7" width="8.88671875" customWidth="1"/>
    <col min="8" max="16384" width="8.88671875" hidden="1"/>
  </cols>
  <sheetData>
    <row r="1" spans="1:7" ht="33" customHeight="1" x14ac:dyDescent="0.3">
      <c r="A1" s="3" t="s">
        <v>25</v>
      </c>
      <c r="B1" s="6"/>
      <c r="C1" s="6"/>
      <c r="D1" s="6"/>
      <c r="E1" s="6"/>
      <c r="F1" s="6"/>
      <c r="G1" s="6"/>
    </row>
    <row r="2" spans="1:7" ht="34.950000000000003" customHeight="1" x14ac:dyDescent="0.3">
      <c r="A2" s="35" t="s">
        <v>28</v>
      </c>
      <c r="B2" s="35"/>
      <c r="C2" s="35"/>
      <c r="D2" s="35"/>
      <c r="E2" s="35"/>
      <c r="F2" s="35"/>
      <c r="G2" s="35"/>
    </row>
    <row r="3" spans="1:7" ht="32.4" customHeight="1" x14ac:dyDescent="0.25">
      <c r="A3" s="34" t="s">
        <v>17</v>
      </c>
      <c r="B3" s="34"/>
      <c r="C3" s="34"/>
      <c r="D3" s="34"/>
      <c r="E3" s="7"/>
      <c r="F3" s="7"/>
      <c r="G3" s="7"/>
    </row>
    <row r="4" spans="1:7" x14ac:dyDescent="0.25">
      <c r="A4" s="8" t="s">
        <v>39</v>
      </c>
      <c r="B4" s="20">
        <v>100</v>
      </c>
      <c r="C4" s="6"/>
      <c r="D4" s="6"/>
      <c r="E4" s="6"/>
      <c r="F4" s="6"/>
      <c r="G4" s="6"/>
    </row>
    <row r="5" spans="1:7" x14ac:dyDescent="0.25">
      <c r="A5" s="8" t="s">
        <v>44</v>
      </c>
      <c r="B5" s="9">
        <v>0.05</v>
      </c>
      <c r="C5" s="6"/>
      <c r="D5" s="6"/>
      <c r="E5" s="6"/>
      <c r="F5" s="6"/>
      <c r="G5" s="6"/>
    </row>
    <row r="6" spans="1:7" x14ac:dyDescent="0.25">
      <c r="A6" s="8" t="s">
        <v>18</v>
      </c>
      <c r="B6" s="23">
        <v>0</v>
      </c>
      <c r="C6" s="6"/>
      <c r="D6" s="6"/>
      <c r="E6" s="6"/>
      <c r="F6" s="6"/>
      <c r="G6" s="6"/>
    </row>
    <row r="7" spans="1:7" x14ac:dyDescent="0.25">
      <c r="A7" s="8" t="s">
        <v>2</v>
      </c>
      <c r="B7" s="23">
        <v>1</v>
      </c>
      <c r="C7" s="6"/>
      <c r="D7" s="6"/>
      <c r="E7" s="6"/>
      <c r="F7" s="6"/>
      <c r="G7" s="6"/>
    </row>
    <row r="8" spans="1:7" x14ac:dyDescent="0.25">
      <c r="A8" s="8" t="s">
        <v>22</v>
      </c>
      <c r="B8" s="26" t="s">
        <v>23</v>
      </c>
      <c r="C8" s="6"/>
      <c r="D8" s="6"/>
      <c r="E8" s="6"/>
      <c r="F8" s="6"/>
      <c r="G8" s="6"/>
    </row>
    <row r="9" spans="1:7" x14ac:dyDescent="0.25">
      <c r="A9" s="8" t="s">
        <v>40</v>
      </c>
      <c r="B9" s="23">
        <v>0</v>
      </c>
      <c r="C9" s="6"/>
      <c r="D9" s="6"/>
      <c r="E9" s="6"/>
      <c r="F9" s="6"/>
      <c r="G9" s="6"/>
    </row>
    <row r="10" spans="1:7" ht="7.95" customHeight="1" x14ac:dyDescent="0.25">
      <c r="A10" s="6"/>
      <c r="B10" s="6"/>
      <c r="C10" s="6"/>
      <c r="D10" s="6"/>
      <c r="E10" s="6"/>
      <c r="F10" s="6"/>
      <c r="G10" s="6"/>
    </row>
    <row r="11" spans="1:7" x14ac:dyDescent="0.25">
      <c r="A11" s="12" t="s">
        <v>10</v>
      </c>
      <c r="B11" s="13" t="s">
        <v>5</v>
      </c>
      <c r="C11" s="6"/>
      <c r="D11" s="6"/>
      <c r="E11" s="6"/>
      <c r="F11" s="6"/>
      <c r="G11" s="6"/>
    </row>
    <row r="12" spans="1:7" x14ac:dyDescent="0.25">
      <c r="A12" s="27" t="s">
        <v>43</v>
      </c>
      <c r="B12" s="27" cm="1">
        <f t="array" ref="B12">_xlfn.IFS(
B8="Is not equal to", _xlfn.NORM.S.INV(1-B5+((1-(1-B5))/2)),
B8="Is less than", _xlfn.NORM.S.INV(1-B5)*-1,
B8="Is greater than", _xlfn.NORM.S.INV(1-B5))</f>
        <v>1.9599639845400536</v>
      </c>
      <c r="C12" s="6"/>
      <c r="D12" s="6"/>
      <c r="E12" s="6"/>
      <c r="F12" s="6"/>
      <c r="G12" s="6"/>
    </row>
    <row r="13" spans="1:7" ht="21.6" customHeight="1" x14ac:dyDescent="0.25">
      <c r="A13" s="8"/>
      <c r="B13" s="14">
        <f>B6-B9</f>
        <v>0</v>
      </c>
      <c r="C13" s="6"/>
      <c r="D13" s="6"/>
      <c r="E13" s="6"/>
      <c r="F13" s="6"/>
      <c r="G13" s="6"/>
    </row>
    <row r="14" spans="1:7" ht="28.95" customHeight="1" x14ac:dyDescent="0.25">
      <c r="A14" s="8"/>
      <c r="B14" s="14">
        <f>B7/SQRT(B4)</f>
        <v>0.1</v>
      </c>
      <c r="C14" s="6"/>
      <c r="D14" s="6"/>
      <c r="E14" s="6"/>
      <c r="F14" s="6"/>
      <c r="G14" s="6"/>
    </row>
    <row r="15" spans="1:7" ht="27" customHeight="1" x14ac:dyDescent="0.25">
      <c r="A15" s="8"/>
      <c r="B15" s="15">
        <f>B13/B14</f>
        <v>0</v>
      </c>
      <c r="C15" s="6"/>
      <c r="D15" s="6"/>
      <c r="E15" s="6"/>
      <c r="F15" s="6"/>
      <c r="G15" s="6"/>
    </row>
    <row r="16" spans="1:7" x14ac:dyDescent="0.25">
      <c r="A16" s="28" t="s">
        <v>14</v>
      </c>
      <c r="B16" s="29" cm="1">
        <f t="array" ref="B16">_xlfn.IFS(
B8="Is less than", "",
B8="Is greater than", B12,
B8="Is not equal to", B12*-1
)</f>
        <v>-1.9599639845400536</v>
      </c>
      <c r="C16" s="32">
        <f>IFERROR(B16*($B$7/SQRT($B$4))+$B$6, "")</f>
        <v>-0.19599639845400538</v>
      </c>
      <c r="D16" s="6"/>
      <c r="E16" s="6"/>
      <c r="F16" s="6"/>
      <c r="G16" s="6"/>
    </row>
    <row r="17" spans="1:7" x14ac:dyDescent="0.25">
      <c r="A17" s="28" t="s">
        <v>15</v>
      </c>
      <c r="B17" s="29">
        <f>IF(B8="Is greater than", "", B12)</f>
        <v>1.9599639845400536</v>
      </c>
      <c r="C17" s="32">
        <f>IFERROR(B17*($B$7/SQRT($B$4))+$B$6, "")</f>
        <v>0.19599639845400538</v>
      </c>
      <c r="D17" s="6"/>
      <c r="E17" s="6"/>
      <c r="F17" s="6"/>
      <c r="G17" s="6"/>
    </row>
    <row r="18" spans="1:7" ht="13.8" x14ac:dyDescent="0.25">
      <c r="A18" s="16" t="s">
        <v>24</v>
      </c>
      <c r="B18" s="25" t="str" cm="1">
        <f t="array" ref="B18">_xlfn.IFNA(
_xlfn.IFS(
AND(B8="Is greater than", B15&gt;B16), "Reject null",
AND(B8="Is less than", B15&lt;B17), "Reject null",
AND(B8="Is not equal to", OR(B15&lt;B16, B15&gt;B17)), "Reject null"),
"Do not reject null")</f>
        <v>Do not reject null</v>
      </c>
      <c r="C18" s="6"/>
      <c r="D18" s="6"/>
      <c r="E18" s="6"/>
      <c r="F18" s="6"/>
      <c r="G18" s="6"/>
    </row>
    <row r="19" spans="1:7" x14ac:dyDescent="0.25">
      <c r="A19" s="6"/>
      <c r="B19" s="6"/>
      <c r="C19" s="6"/>
      <c r="D19" s="6"/>
      <c r="E19" s="6"/>
      <c r="F19" s="6"/>
      <c r="G19" s="6"/>
    </row>
  </sheetData>
  <mergeCells count="2">
    <mergeCell ref="A3:D3"/>
    <mergeCell ref="A2:G2"/>
  </mergeCells>
  <dataValidations count="1">
    <dataValidation type="list" allowBlank="1" showInputMessage="1" showErrorMessage="1" sqref="B8" xr:uid="{E2607456-0F40-4F6A-B9E5-E809A06C89AE}">
      <formula1>"Is not equal to,Is less than, Is greater than"</formula1>
    </dataValidation>
  </dataValidation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FF29C0-4DDA-4572-9FAA-0F7A9EE28AFA}">
  <dimension ref="A1:G19"/>
  <sheetViews>
    <sheetView view="pageLayout" zoomScaleNormal="100" workbookViewId="0"/>
  </sheetViews>
  <sheetFormatPr defaultColWidth="0" defaultRowHeight="13.2" x14ac:dyDescent="0.25"/>
  <cols>
    <col min="1" max="1" width="31.33203125" customWidth="1"/>
    <col min="2" max="2" width="12.33203125" bestFit="1" customWidth="1"/>
    <col min="3" max="7" width="8.88671875" customWidth="1"/>
    <col min="8" max="16384" width="8.88671875" hidden="1"/>
  </cols>
  <sheetData>
    <row r="1" spans="1:7" ht="33" customHeight="1" x14ac:dyDescent="0.3">
      <c r="A1" s="3" t="s">
        <v>26</v>
      </c>
      <c r="B1" s="6"/>
      <c r="C1" s="6"/>
      <c r="D1" s="6"/>
      <c r="E1" s="6"/>
      <c r="F1" s="6"/>
      <c r="G1" s="6"/>
    </row>
    <row r="2" spans="1:7" ht="34.950000000000003" customHeight="1" x14ac:dyDescent="0.3">
      <c r="A2" s="35" t="s">
        <v>27</v>
      </c>
      <c r="B2" s="35"/>
      <c r="C2" s="35"/>
      <c r="D2" s="35"/>
      <c r="E2" s="35"/>
      <c r="F2" s="35"/>
      <c r="G2" s="35"/>
    </row>
    <row r="3" spans="1:7" ht="32.4" customHeight="1" x14ac:dyDescent="0.25">
      <c r="A3" s="34" t="s">
        <v>17</v>
      </c>
      <c r="B3" s="34"/>
      <c r="C3" s="34"/>
      <c r="D3" s="34"/>
      <c r="E3" s="7"/>
      <c r="F3" s="7"/>
      <c r="G3" s="7"/>
    </row>
    <row r="4" spans="1:7" x14ac:dyDescent="0.25">
      <c r="A4" s="8" t="s">
        <v>39</v>
      </c>
      <c r="B4" s="20">
        <v>10</v>
      </c>
      <c r="C4" s="6"/>
      <c r="D4" s="6"/>
      <c r="E4" s="6"/>
      <c r="F4" s="6"/>
      <c r="G4" s="6"/>
    </row>
    <row r="5" spans="1:7" x14ac:dyDescent="0.25">
      <c r="A5" s="8" t="s">
        <v>44</v>
      </c>
      <c r="B5" s="9">
        <v>0.05</v>
      </c>
      <c r="C5" s="6"/>
      <c r="D5" s="6"/>
      <c r="E5" s="6"/>
      <c r="F5" s="6"/>
      <c r="G5" s="6"/>
    </row>
    <row r="6" spans="1:7" x14ac:dyDescent="0.25">
      <c r="A6" s="8" t="s">
        <v>18</v>
      </c>
      <c r="B6" s="23">
        <v>0</v>
      </c>
      <c r="C6" s="6"/>
      <c r="D6" s="6"/>
      <c r="E6" s="6"/>
      <c r="F6" s="6"/>
      <c r="G6" s="6"/>
    </row>
    <row r="7" spans="1:7" x14ac:dyDescent="0.25">
      <c r="A7" s="8" t="s">
        <v>21</v>
      </c>
      <c r="B7" s="23">
        <v>1</v>
      </c>
      <c r="C7" s="6"/>
      <c r="D7" s="6"/>
      <c r="E7" s="6"/>
      <c r="F7" s="6"/>
      <c r="G7" s="6"/>
    </row>
    <row r="8" spans="1:7" x14ac:dyDescent="0.25">
      <c r="A8" s="8" t="s">
        <v>22</v>
      </c>
      <c r="B8" s="26" t="s">
        <v>23</v>
      </c>
      <c r="C8" s="6"/>
      <c r="D8" s="6"/>
      <c r="E8" s="6"/>
      <c r="F8" s="6"/>
      <c r="G8" s="6"/>
    </row>
    <row r="9" spans="1:7" x14ac:dyDescent="0.25">
      <c r="A9" s="8" t="s">
        <v>40</v>
      </c>
      <c r="B9" s="23">
        <v>1</v>
      </c>
      <c r="C9" s="6"/>
      <c r="D9" s="6"/>
      <c r="E9" s="6"/>
      <c r="F9" s="6"/>
      <c r="G9" s="6"/>
    </row>
    <row r="10" spans="1:7" ht="7.95" customHeight="1" x14ac:dyDescent="0.25">
      <c r="A10" s="6"/>
      <c r="B10" s="6"/>
      <c r="C10" s="6"/>
      <c r="D10" s="6"/>
      <c r="E10" s="6"/>
      <c r="F10" s="6"/>
      <c r="G10" s="6"/>
    </row>
    <row r="11" spans="1:7" x14ac:dyDescent="0.25">
      <c r="A11" s="12" t="s">
        <v>10</v>
      </c>
      <c r="B11" s="13" t="s">
        <v>5</v>
      </c>
      <c r="C11" s="6"/>
      <c r="D11" s="6"/>
      <c r="E11" s="6"/>
      <c r="F11" s="6"/>
      <c r="G11" s="6"/>
    </row>
    <row r="12" spans="1:7" x14ac:dyDescent="0.25">
      <c r="A12" s="27" t="s">
        <v>42</v>
      </c>
      <c r="B12" s="27" cm="1">
        <f t="array" ref="B12">_xlfn.IFS(
B8="Is not equal to", _xlfn.T.INV(1-B5+((1-(1-B5))/2), B4-1),
B8="Is less than", _xlfn.T.INV(1-B5, B4-1)*-1,
B8="Is greater than", _xlfn.T.INV(1-B5, B4-1))</f>
        <v>2.2621571627982049</v>
      </c>
      <c r="C12" s="6"/>
      <c r="D12" s="6"/>
      <c r="E12" s="6"/>
      <c r="F12" s="6"/>
      <c r="G12" s="6"/>
    </row>
    <row r="13" spans="1:7" ht="21.6" customHeight="1" x14ac:dyDescent="0.25">
      <c r="A13" s="8"/>
      <c r="B13" s="14">
        <f>B6-B9</f>
        <v>-1</v>
      </c>
      <c r="C13" s="6"/>
      <c r="D13" s="6"/>
      <c r="E13" s="6"/>
      <c r="F13" s="6"/>
      <c r="G13" s="6"/>
    </row>
    <row r="14" spans="1:7" ht="28.95" customHeight="1" x14ac:dyDescent="0.25">
      <c r="A14" s="8"/>
      <c r="B14" s="14">
        <f>B7/SQRT(B4)</f>
        <v>0.31622776601683794</v>
      </c>
      <c r="C14" s="6"/>
      <c r="D14" s="6"/>
      <c r="E14" s="6"/>
      <c r="F14" s="6"/>
      <c r="G14" s="6"/>
    </row>
    <row r="15" spans="1:7" ht="27" customHeight="1" x14ac:dyDescent="0.25">
      <c r="A15" s="8"/>
      <c r="B15" s="15">
        <f>B13/B14</f>
        <v>-3.1622776601683791</v>
      </c>
      <c r="C15" s="6"/>
      <c r="D15" s="6"/>
      <c r="E15" s="6"/>
      <c r="F15" s="6"/>
      <c r="G15" s="6"/>
    </row>
    <row r="16" spans="1:7" x14ac:dyDescent="0.25">
      <c r="A16" s="28" t="s">
        <v>14</v>
      </c>
      <c r="B16" s="29" cm="1">
        <f t="array" ref="B16">_xlfn.IFS(
B8="Is less than", "",
B8="Is greater than", B12,
B8="Is not equal to", B12*-1
)</f>
        <v>-2.2621571627982049</v>
      </c>
      <c r="C16" s="33">
        <f>IFERROR(B16*($B$7/SQRT($B$4))+$B$6, "")</f>
        <v>-0.7153569059706647</v>
      </c>
      <c r="D16" s="6"/>
      <c r="E16" s="6"/>
      <c r="F16" s="6"/>
      <c r="G16" s="6"/>
    </row>
    <row r="17" spans="1:7" x14ac:dyDescent="0.25">
      <c r="A17" s="28" t="s">
        <v>15</v>
      </c>
      <c r="B17" s="29">
        <f>IF(B8="Is greater than", "", B12)</f>
        <v>2.2621571627982049</v>
      </c>
      <c r="C17" s="33">
        <f>IFERROR(B17*($B$7/SQRT($B$4))+$B$6, "")</f>
        <v>0.7153569059706647</v>
      </c>
      <c r="D17" s="6"/>
      <c r="E17" s="6"/>
      <c r="F17" s="6"/>
      <c r="G17" s="6"/>
    </row>
    <row r="18" spans="1:7" ht="13.8" x14ac:dyDescent="0.25">
      <c r="A18" s="16" t="s">
        <v>24</v>
      </c>
      <c r="B18" s="25" t="str" cm="1">
        <f t="array" ref="B18">_xlfn.IFNA(
_xlfn.IFS(
AND(B8="Is greater than", B15&gt;B16), "Reject null",
AND(B8="Is less than", B15&lt;B17), "Reject null",
AND(B8="Is not equal to", OR(B15&lt;B16, B15&gt;B17)), "Reject null"),
"Do not reject null")</f>
        <v>Reject null</v>
      </c>
      <c r="C18" s="6"/>
      <c r="D18" s="6"/>
      <c r="E18" s="6"/>
      <c r="F18" s="6"/>
      <c r="G18" s="6"/>
    </row>
    <row r="19" spans="1:7" x14ac:dyDescent="0.25">
      <c r="A19" s="6"/>
      <c r="B19" s="6"/>
      <c r="C19" s="6"/>
      <c r="D19" s="6"/>
      <c r="E19" s="6"/>
      <c r="F19" s="6"/>
      <c r="G19" s="6"/>
    </row>
  </sheetData>
  <mergeCells count="2">
    <mergeCell ref="A2:G2"/>
    <mergeCell ref="A3:D3"/>
  </mergeCells>
  <dataValidations count="1">
    <dataValidation type="list" allowBlank="1" showInputMessage="1" showErrorMessage="1" sqref="B8" xr:uid="{CE0B0103-9374-40C1-B0AD-93A4ADE97EFD}">
      <formula1>"Is not equal to,Is less than, Is greater than"</formula1>
    </dataValidation>
  </dataValidation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EBFE17-3F7F-4E5D-A97F-676340747EAF}">
  <dimension ref="A1:G19"/>
  <sheetViews>
    <sheetView view="pageLayout" topLeftCell="A3" zoomScaleNormal="100" workbookViewId="0"/>
  </sheetViews>
  <sheetFormatPr defaultColWidth="0" defaultRowHeight="13.2" x14ac:dyDescent="0.25"/>
  <cols>
    <col min="1" max="1" width="30" customWidth="1"/>
    <col min="2" max="2" width="12.33203125" bestFit="1" customWidth="1"/>
    <col min="3" max="3" width="10.33203125" customWidth="1"/>
    <col min="4" max="7" width="8.88671875" customWidth="1"/>
    <col min="8" max="16384" width="8.88671875" hidden="1"/>
  </cols>
  <sheetData>
    <row r="1" spans="1:7" ht="33" customHeight="1" x14ac:dyDescent="0.3">
      <c r="A1" s="3" t="s">
        <v>29</v>
      </c>
      <c r="B1" s="6"/>
      <c r="C1" s="6"/>
      <c r="D1" s="6"/>
      <c r="E1" s="6"/>
      <c r="F1" s="6"/>
      <c r="G1" s="6"/>
    </row>
    <row r="2" spans="1:7" ht="34.950000000000003" customHeight="1" x14ac:dyDescent="0.3">
      <c r="A2" s="35" t="s">
        <v>28</v>
      </c>
      <c r="B2" s="35"/>
      <c r="C2" s="35"/>
      <c r="D2" s="35"/>
      <c r="E2" s="35"/>
      <c r="F2" s="35"/>
      <c r="G2" s="35"/>
    </row>
    <row r="3" spans="1:7" ht="32.4" customHeight="1" x14ac:dyDescent="0.25">
      <c r="A3" s="34" t="s">
        <v>17</v>
      </c>
      <c r="B3" s="34"/>
      <c r="C3" s="34"/>
      <c r="D3" s="34"/>
      <c r="E3" s="7"/>
      <c r="F3" s="7"/>
      <c r="G3" s="7"/>
    </row>
    <row r="4" spans="1:7" x14ac:dyDescent="0.25">
      <c r="A4" s="8" t="s">
        <v>39</v>
      </c>
      <c r="B4" s="20">
        <v>200</v>
      </c>
      <c r="C4" s="6"/>
      <c r="D4" s="6"/>
      <c r="E4" s="6"/>
      <c r="F4" s="6"/>
      <c r="G4" s="6"/>
    </row>
    <row r="5" spans="1:7" x14ac:dyDescent="0.25">
      <c r="A5" s="8" t="s">
        <v>44</v>
      </c>
      <c r="B5" s="9">
        <v>0.05</v>
      </c>
      <c r="C5" s="6"/>
      <c r="D5" s="6"/>
      <c r="E5" s="6"/>
      <c r="F5" s="6"/>
      <c r="G5" s="6"/>
    </row>
    <row r="6" spans="1:7" x14ac:dyDescent="0.25">
      <c r="A6" s="8" t="s">
        <v>30</v>
      </c>
      <c r="B6" s="19">
        <v>0.62</v>
      </c>
      <c r="C6" s="6"/>
      <c r="D6" s="6"/>
      <c r="E6" s="6"/>
      <c r="F6" s="6"/>
      <c r="G6" s="6"/>
    </row>
    <row r="7" spans="1:7" x14ac:dyDescent="0.25">
      <c r="A7" s="8" t="s">
        <v>22</v>
      </c>
      <c r="B7" s="26" t="s">
        <v>23</v>
      </c>
      <c r="C7" s="6"/>
      <c r="D7" s="6"/>
      <c r="E7" s="6"/>
      <c r="F7" s="6"/>
      <c r="G7" s="6"/>
    </row>
    <row r="8" spans="1:7" x14ac:dyDescent="0.25">
      <c r="A8" s="8" t="s">
        <v>41</v>
      </c>
      <c r="B8" s="19">
        <v>0.75</v>
      </c>
      <c r="C8" s="6"/>
      <c r="D8" s="6"/>
      <c r="E8" s="6"/>
      <c r="F8" s="6"/>
      <c r="G8" s="6"/>
    </row>
    <row r="9" spans="1:7" ht="7.95" customHeight="1" x14ac:dyDescent="0.25">
      <c r="A9" s="6"/>
      <c r="B9" s="6"/>
      <c r="C9" s="6"/>
      <c r="D9" s="6"/>
      <c r="E9" s="6"/>
      <c r="F9" s="6"/>
      <c r="G9" s="6"/>
    </row>
    <row r="10" spans="1:7" x14ac:dyDescent="0.25">
      <c r="A10" s="12" t="s">
        <v>10</v>
      </c>
      <c r="B10" s="13" t="s">
        <v>5</v>
      </c>
      <c r="C10" s="6"/>
      <c r="D10" s="6"/>
      <c r="E10" s="6"/>
      <c r="F10" s="6"/>
      <c r="G10" s="6"/>
    </row>
    <row r="11" spans="1:7" x14ac:dyDescent="0.25">
      <c r="A11" s="27" t="s">
        <v>43</v>
      </c>
      <c r="B11" s="27" cm="1">
        <f t="array" ref="B11">_xlfn.IFS(
B7="Is not equal to", _xlfn.NORM.S.INV(1-B5+((1-(1-B5))/2)),
B7="Is less than", _xlfn.NORM.S.INV(1-B5)*-1,
B7="Is greater than", _xlfn.NORM.S.INV(1-B5))</f>
        <v>1.9599639845400536</v>
      </c>
      <c r="C11" s="6"/>
      <c r="D11" s="6"/>
      <c r="E11" s="6"/>
      <c r="F11" s="6"/>
      <c r="G11" s="6"/>
    </row>
    <row r="12" spans="1:7" ht="21.6" customHeight="1" x14ac:dyDescent="0.25">
      <c r="A12" s="8"/>
      <c r="B12" s="18">
        <f>B6-B8</f>
        <v>-0.13</v>
      </c>
      <c r="C12" s="6"/>
      <c r="D12" s="6"/>
      <c r="E12" s="6"/>
      <c r="F12" s="6"/>
      <c r="G12" s="6"/>
    </row>
    <row r="13" spans="1:7" ht="22.5" customHeight="1" x14ac:dyDescent="0.25">
      <c r="A13" s="8"/>
      <c r="B13" s="18">
        <f>B8*(1-B8)</f>
        <v>0.1875</v>
      </c>
      <c r="C13" s="6"/>
      <c r="D13" s="6"/>
      <c r="E13" s="6"/>
      <c r="F13" s="6"/>
      <c r="G13" s="6"/>
    </row>
    <row r="14" spans="1:7" ht="27" customHeight="1" x14ac:dyDescent="0.25">
      <c r="A14" s="8"/>
      <c r="B14" s="18">
        <f>SQRT(B13/B4)</f>
        <v>3.0618621784789725E-2</v>
      </c>
      <c r="C14" s="6"/>
      <c r="D14" s="6"/>
      <c r="E14" s="6"/>
      <c r="F14" s="6"/>
      <c r="G14" s="6"/>
    </row>
    <row r="15" spans="1:7" ht="39.75" customHeight="1" x14ac:dyDescent="0.25">
      <c r="A15" s="8"/>
      <c r="B15" s="30">
        <f>B12/B14</f>
        <v>-4.245782220824176</v>
      </c>
      <c r="C15" s="6"/>
      <c r="D15" s="6"/>
      <c r="E15" s="6"/>
      <c r="F15" s="6"/>
      <c r="G15" s="6"/>
    </row>
    <row r="16" spans="1:7" x14ac:dyDescent="0.25">
      <c r="A16" s="28" t="s">
        <v>14</v>
      </c>
      <c r="B16" s="29" cm="1">
        <f t="array" ref="B16">_xlfn.IFS(
B7="Is less than", "",
B7="Is greater than", B11,
B7="Is not equal to", B11*-1)</f>
        <v>-1.9599639845400536</v>
      </c>
      <c r="C16" s="31">
        <f>IFERROR(B16*(SQRT(($B$6*(1-$B$6))/$B$4))+$B$6, "")</f>
        <v>0.55273010709999848</v>
      </c>
      <c r="D16" s="6"/>
      <c r="E16" s="6"/>
      <c r="F16" s="6"/>
      <c r="G16" s="6"/>
    </row>
    <row r="17" spans="1:7" x14ac:dyDescent="0.25">
      <c r="A17" s="28" t="s">
        <v>15</v>
      </c>
      <c r="B17" s="29">
        <f>IF(B7="Is greater than", "", B11)</f>
        <v>1.9599639845400536</v>
      </c>
      <c r="C17" s="31">
        <f>IFERROR(B17*(SQRT(($B$6*(1-$B$6))/$B$4))+$B$6, "")</f>
        <v>0.68726989290000151</v>
      </c>
      <c r="D17" s="6"/>
      <c r="E17" s="6"/>
      <c r="F17" s="6"/>
      <c r="G17" s="6"/>
    </row>
    <row r="18" spans="1:7" ht="13.8" x14ac:dyDescent="0.25">
      <c r="A18" s="16" t="s">
        <v>24</v>
      </c>
      <c r="B18" s="25" t="str" cm="1">
        <f t="array" ref="B18">_xlfn.IFNA(
_xlfn.IFS(
AND(B7="Is greater than", B15&gt;B16), "Reject null",
AND(B7="Is less than", B15&lt;B17), "Reject null",
AND(B7="Is not equal to", OR(B15&lt;B16, B15&gt;B17)), "Reject null"),
"Do not reject null")</f>
        <v>Reject null</v>
      </c>
      <c r="C18" s="6"/>
      <c r="D18" s="6"/>
      <c r="E18" s="6"/>
      <c r="F18" s="6"/>
      <c r="G18" s="6"/>
    </row>
    <row r="19" spans="1:7" x14ac:dyDescent="0.25">
      <c r="A19" s="6"/>
      <c r="B19" s="6"/>
      <c r="C19" s="6"/>
      <c r="D19" s="6"/>
      <c r="E19" s="6"/>
      <c r="F19" s="6"/>
      <c r="G19" s="6"/>
    </row>
  </sheetData>
  <mergeCells count="2">
    <mergeCell ref="A2:G2"/>
    <mergeCell ref="A3:D3"/>
  </mergeCells>
  <dataValidations count="1">
    <dataValidation type="list" allowBlank="1" showInputMessage="1" showErrorMessage="1" sqref="B7" xr:uid="{C16621CA-0F46-4354-BB76-786860CF10D5}">
      <formula1>"Is not equal to,Is less than, Is greater than"</formula1>
    </dataValidation>
  </dataValidation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6465DC-B6DF-47B4-97BC-8017DA9C101D}">
  <dimension ref="A1:G22"/>
  <sheetViews>
    <sheetView tabSelected="1" view="pageLayout" zoomScaleNormal="100" workbookViewId="0"/>
  </sheetViews>
  <sheetFormatPr defaultColWidth="0" defaultRowHeight="13.2" x14ac:dyDescent="0.25"/>
  <cols>
    <col min="1" max="1" width="30.88671875" customWidth="1"/>
    <col min="2" max="2" width="15.6640625" customWidth="1"/>
    <col min="3" max="7" width="8.88671875" customWidth="1"/>
    <col min="8" max="16384" width="8.88671875" hidden="1"/>
  </cols>
  <sheetData>
    <row r="1" spans="1:7" ht="33" customHeight="1" x14ac:dyDescent="0.3">
      <c r="A1" s="3" t="s">
        <v>37</v>
      </c>
      <c r="B1" s="6"/>
      <c r="C1" s="6"/>
      <c r="D1" s="6"/>
      <c r="E1" s="6"/>
      <c r="F1" s="6"/>
      <c r="G1" s="6"/>
    </row>
    <row r="2" spans="1:7" ht="37.950000000000003" customHeight="1" x14ac:dyDescent="0.3">
      <c r="A2" s="35" t="s">
        <v>38</v>
      </c>
      <c r="B2" s="35"/>
      <c r="C2" s="35"/>
      <c r="D2" s="35"/>
      <c r="E2" s="35"/>
      <c r="F2" s="35"/>
      <c r="G2" s="35"/>
    </row>
    <row r="3" spans="1:7" ht="32.4" customHeight="1" x14ac:dyDescent="0.25">
      <c r="A3" s="34" t="s">
        <v>17</v>
      </c>
      <c r="B3" s="34"/>
      <c r="C3" s="34"/>
      <c r="D3" s="34"/>
      <c r="E3" s="7"/>
      <c r="F3" s="7"/>
      <c r="G3" s="7"/>
    </row>
    <row r="4" spans="1:7" x14ac:dyDescent="0.25">
      <c r="A4" s="8" t="s">
        <v>44</v>
      </c>
      <c r="B4" s="9">
        <v>0.05</v>
      </c>
      <c r="C4" s="6"/>
      <c r="D4" s="6"/>
      <c r="E4" s="6"/>
      <c r="F4" s="6"/>
      <c r="G4" s="6"/>
    </row>
    <row r="5" spans="1:7" x14ac:dyDescent="0.25">
      <c r="A5" s="8" t="s">
        <v>31</v>
      </c>
      <c r="B5" s="20">
        <v>50</v>
      </c>
      <c r="C5" s="6"/>
      <c r="D5" s="6"/>
      <c r="E5" s="6"/>
      <c r="F5" s="6"/>
      <c r="G5" s="6"/>
    </row>
    <row r="6" spans="1:7" x14ac:dyDescent="0.25">
      <c r="A6" s="8" t="s">
        <v>33</v>
      </c>
      <c r="B6" s="23">
        <v>0</v>
      </c>
      <c r="C6" s="6"/>
      <c r="D6" s="6"/>
      <c r="E6" s="6"/>
      <c r="F6" s="6"/>
      <c r="G6" s="6"/>
    </row>
    <row r="7" spans="1:7" x14ac:dyDescent="0.25">
      <c r="A7" s="8" t="s">
        <v>32</v>
      </c>
      <c r="B7" s="23">
        <v>1</v>
      </c>
      <c r="C7" s="6"/>
      <c r="D7" s="6"/>
      <c r="E7" s="6"/>
      <c r="F7" s="6"/>
      <c r="G7" s="6"/>
    </row>
    <row r="8" spans="1:7" x14ac:dyDescent="0.25">
      <c r="A8" s="8" t="s">
        <v>34</v>
      </c>
      <c r="B8" s="20">
        <v>50</v>
      </c>
      <c r="C8" s="6"/>
      <c r="D8" s="6"/>
      <c r="E8" s="6"/>
      <c r="F8" s="6"/>
      <c r="G8" s="6"/>
    </row>
    <row r="9" spans="1:7" x14ac:dyDescent="0.25">
      <c r="A9" s="8" t="s">
        <v>36</v>
      </c>
      <c r="B9" s="23">
        <v>0</v>
      </c>
      <c r="C9" s="6"/>
      <c r="D9" s="6"/>
      <c r="E9" s="6"/>
      <c r="F9" s="6"/>
      <c r="G9" s="6"/>
    </row>
    <row r="10" spans="1:7" x14ac:dyDescent="0.25">
      <c r="A10" s="8" t="s">
        <v>35</v>
      </c>
      <c r="B10" s="23">
        <v>1</v>
      </c>
      <c r="C10" s="6"/>
      <c r="D10" s="6"/>
      <c r="E10" s="6"/>
      <c r="F10" s="6"/>
      <c r="G10" s="6"/>
    </row>
    <row r="11" spans="1:7" ht="7.95" customHeight="1" x14ac:dyDescent="0.25">
      <c r="A11" s="6"/>
      <c r="B11" s="6"/>
      <c r="C11" s="6"/>
      <c r="D11" s="6"/>
      <c r="E11" s="6"/>
      <c r="F11" s="6"/>
      <c r="G11" s="6"/>
    </row>
    <row r="12" spans="1:7" x14ac:dyDescent="0.25">
      <c r="A12" s="12" t="s">
        <v>10</v>
      </c>
      <c r="B12" s="13" t="s">
        <v>5</v>
      </c>
      <c r="C12" s="6"/>
      <c r="D12" s="6"/>
      <c r="E12" s="6"/>
      <c r="F12" s="6"/>
      <c r="G12" s="6"/>
    </row>
    <row r="13" spans="1:7" x14ac:dyDescent="0.25">
      <c r="A13" s="27" t="s">
        <v>43</v>
      </c>
      <c r="B13" s="27">
        <f>_xlfn.NORM.S.INV(1-B4+((1-(1-B4))/2))</f>
        <v>1.9599639845400536</v>
      </c>
      <c r="C13" s="6"/>
      <c r="D13" s="6"/>
      <c r="E13" s="6"/>
      <c r="F13" s="6"/>
      <c r="G13" s="6"/>
    </row>
    <row r="14" spans="1:7" ht="21.6" customHeight="1" x14ac:dyDescent="0.25">
      <c r="A14" s="8"/>
      <c r="B14" s="14">
        <f>B6-B9</f>
        <v>0</v>
      </c>
      <c r="C14" s="6"/>
      <c r="D14" s="6"/>
      <c r="E14" s="6"/>
      <c r="F14" s="6"/>
      <c r="G14" s="6"/>
    </row>
    <row r="15" spans="1:7" ht="28.95" customHeight="1" x14ac:dyDescent="0.25">
      <c r="A15" s="8"/>
      <c r="B15" s="15">
        <f>POWER(B7, 2) / B5</f>
        <v>0.02</v>
      </c>
      <c r="C15" s="6"/>
      <c r="D15" s="6"/>
      <c r="E15" s="6"/>
      <c r="F15" s="6"/>
      <c r="G15" s="6"/>
    </row>
    <row r="16" spans="1:7" ht="31.95" customHeight="1" x14ac:dyDescent="0.25">
      <c r="A16" s="8"/>
      <c r="B16" s="15">
        <f>POWER(B10, 2) / B8</f>
        <v>0.02</v>
      </c>
      <c r="C16" s="6"/>
      <c r="D16" s="6"/>
      <c r="E16" s="6"/>
      <c r="F16" s="6"/>
      <c r="G16" s="6"/>
    </row>
    <row r="17" spans="1:7" ht="40.950000000000003" customHeight="1" x14ac:dyDescent="0.25">
      <c r="A17" s="8"/>
      <c r="B17" s="15">
        <f>SQRT(B15+B16)</f>
        <v>0.2</v>
      </c>
      <c r="C17" s="6"/>
      <c r="D17" s="6"/>
      <c r="E17" s="6"/>
      <c r="F17" s="6"/>
      <c r="G17" s="6"/>
    </row>
    <row r="18" spans="1:7" ht="50.4" customHeight="1" x14ac:dyDescent="0.25">
      <c r="A18" s="8"/>
      <c r="B18" s="15">
        <f>B14/B17</f>
        <v>0</v>
      </c>
      <c r="C18" s="6"/>
      <c r="D18" s="6"/>
      <c r="E18" s="6"/>
      <c r="F18" s="6"/>
      <c r="G18" s="6"/>
    </row>
    <row r="19" spans="1:7" x14ac:dyDescent="0.25">
      <c r="A19" s="28" t="s">
        <v>14</v>
      </c>
      <c r="B19" s="29">
        <f>B14-(B13*B17)</f>
        <v>-0.39199279690801075</v>
      </c>
      <c r="C19" s="32"/>
      <c r="D19" s="6"/>
      <c r="E19" s="6"/>
      <c r="F19" s="6"/>
      <c r="G19" s="6"/>
    </row>
    <row r="20" spans="1:7" x14ac:dyDescent="0.25">
      <c r="A20" s="28" t="s">
        <v>15</v>
      </c>
      <c r="B20" s="29">
        <f>B14+(B13*B17)</f>
        <v>0.39199279690801075</v>
      </c>
      <c r="C20" s="32"/>
      <c r="D20" s="6"/>
      <c r="E20" s="6"/>
      <c r="F20" s="6"/>
      <c r="G20" s="6"/>
    </row>
    <row r="21" spans="1:7" ht="13.8" x14ac:dyDescent="0.25">
      <c r="A21" s="16" t="s">
        <v>24</v>
      </c>
      <c r="B21" s="25" t="str">
        <f>IF(OR(B18&lt;B19, B18&gt;B20), "Reject null", "Do not reject null")</f>
        <v>Do not reject null</v>
      </c>
      <c r="C21" s="6"/>
      <c r="D21" s="6"/>
      <c r="E21" s="6"/>
      <c r="F21" s="6"/>
      <c r="G21" s="6"/>
    </row>
    <row r="22" spans="1:7" x14ac:dyDescent="0.25">
      <c r="A22" s="6"/>
      <c r="B22" s="6"/>
      <c r="C22" s="6"/>
      <c r="D22" s="6"/>
      <c r="E22" s="6"/>
      <c r="F22" s="6"/>
      <c r="G22" s="6"/>
    </row>
  </sheetData>
  <mergeCells count="2">
    <mergeCell ref="A2:G2"/>
    <mergeCell ref="A3:D3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MinSampleSize</vt:lpstr>
      <vt:lpstr>ConfInt-Proportion</vt:lpstr>
      <vt:lpstr>ConfInt-Mean-Z</vt:lpstr>
      <vt:lpstr>ConfInt-Mean-T</vt:lpstr>
      <vt:lpstr>ZTest-Mean</vt:lpstr>
      <vt:lpstr>TTest-Mean</vt:lpstr>
      <vt:lpstr>ZTest-Proportion</vt:lpstr>
      <vt:lpstr>ZTest-Difference Btwn Grps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Kyle Protho</dc:creator>
  <cp:lastModifiedBy>Kyle Protho</cp:lastModifiedBy>
  <dcterms:created xsi:type="dcterms:W3CDTF">2022-06-19T11:40:18Z</dcterms:created>
  <dcterms:modified xsi:type="dcterms:W3CDTF">2022-06-25T19:04:31Z</dcterms:modified>
</cp:coreProperties>
</file>